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6. DESA SEKUDUK\MELENGKAPI BIDANG\"/>
    </mc:Choice>
  </mc:AlternateContent>
  <xr:revisionPtr revIDLastSave="0" documentId="8_{AC93F011-8973-42EB-A806-44B74572A174}" xr6:coauthVersionLast="45" xr6:coauthVersionMax="45" xr10:uidLastSave="{00000000-0000-0000-0000-000000000000}"/>
  <bookViews>
    <workbookView xWindow="-120" yWindow="-120" windowWidth="20730" windowHeight="11160" xr2:uid="{DFEF3A97-D25F-4820-BBC9-7762D7AD2D79}"/>
  </bookViews>
  <sheets>
    <sheet name="Sheet1 (2)" sheetId="3" r:id="rId1"/>
    <sheet name="Sheet1 (3)" sheetId="4" r:id="rId2"/>
    <sheet name="Sheet1" sheetId="5" r:id="rId3"/>
  </sheets>
  <definedNames>
    <definedName name="_xlnm._FilterDatabase" localSheetId="2" hidden="1">Sheet1!$A$1:$M$169</definedName>
    <definedName name="_xlnm._FilterDatabase" localSheetId="0" hidden="1">'Sheet1 (2)'!$A$1:$J$2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2" i="3"/>
  <c r="G18" i="3"/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2" i="3"/>
</calcChain>
</file>

<file path=xl/sharedStrings.xml><?xml version="1.0" encoding="utf-8"?>
<sst xmlns="http://schemas.openxmlformats.org/spreadsheetml/2006/main" count="4747" uniqueCount="627">
  <si>
    <t>nomor</t>
  </si>
  <si>
    <t>baris</t>
  </si>
  <si>
    <t>CEK</t>
  </si>
  <si>
    <t>PBT</t>
  </si>
  <si>
    <t>NIB</t>
  </si>
  <si>
    <t>Keadaan Tanah</t>
  </si>
  <si>
    <t>Tanda Batas</t>
  </si>
  <si>
    <t>Penunjuk Batas</t>
  </si>
  <si>
    <t>Hal lain-lain</t>
  </si>
  <si>
    <t>Nama Jalan</t>
  </si>
  <si>
    <t>Nomor Jalan</t>
  </si>
  <si>
    <t>Alamat Tambahan</t>
  </si>
  <si>
    <t>Kode Pos</t>
  </si>
  <si>
    <t>Penggunaan</t>
  </si>
  <si>
    <t>Pemanfaatan</t>
  </si>
  <si>
    <t>Akurasi Bidang</t>
  </si>
  <si>
    <t>-</t>
  </si>
  <si>
    <t>Perdesaan</t>
  </si>
  <si>
    <t>patok Beton</t>
  </si>
  <si>
    <t>Metode Ukur</t>
  </si>
  <si>
    <t>NUB</t>
  </si>
  <si>
    <t>NOP</t>
  </si>
  <si>
    <t>NAMA</t>
  </si>
  <si>
    <t>NIK</t>
  </si>
  <si>
    <t>KONDISI</t>
  </si>
  <si>
    <t>NOHAK</t>
  </si>
  <si>
    <t>LUAS</t>
  </si>
  <si>
    <t>X</t>
  </si>
  <si>
    <t>Y</t>
  </si>
  <si>
    <t>DWGNAME</t>
  </si>
  <si>
    <t>NoLembar</t>
  </si>
  <si>
    <t>NoKotak</t>
  </si>
  <si>
    <t/>
  </si>
  <si>
    <t>00135</t>
  </si>
  <si>
    <t>KBN</t>
  </si>
  <si>
    <t>K3</t>
  </si>
  <si>
    <t>C3</t>
  </si>
  <si>
    <t>00055</t>
  </si>
  <si>
    <t>C2</t>
  </si>
  <si>
    <t>00139</t>
  </si>
  <si>
    <t>D5</t>
  </si>
  <si>
    <t>00109</t>
  </si>
  <si>
    <t>E1</t>
  </si>
  <si>
    <t>00089</t>
  </si>
  <si>
    <t>E2</t>
  </si>
  <si>
    <t>00169</t>
  </si>
  <si>
    <t>00164</t>
  </si>
  <si>
    <t>Gustina</t>
  </si>
  <si>
    <t>A4</t>
  </si>
  <si>
    <t>00177</t>
  </si>
  <si>
    <t>K1</t>
  </si>
  <si>
    <t>A1</t>
  </si>
  <si>
    <t>00127</t>
  </si>
  <si>
    <t>6101062809850001</t>
  </si>
  <si>
    <t>A3</t>
  </si>
  <si>
    <t>00161</t>
  </si>
  <si>
    <t>A5</t>
  </si>
  <si>
    <t>00095</t>
  </si>
  <si>
    <t>00166</t>
  </si>
  <si>
    <t>E3</t>
  </si>
  <si>
    <t>00157</t>
  </si>
  <si>
    <t>00163</t>
  </si>
  <si>
    <t>B5</t>
  </si>
  <si>
    <t>00071</t>
  </si>
  <si>
    <t>00175</t>
  </si>
  <si>
    <t>00170</t>
  </si>
  <si>
    <t>B1</t>
  </si>
  <si>
    <t>00133</t>
  </si>
  <si>
    <t>00064</t>
  </si>
  <si>
    <t>00090</t>
  </si>
  <si>
    <t>00049</t>
  </si>
  <si>
    <t>C1</t>
  </si>
  <si>
    <t>00165</t>
  </si>
  <si>
    <t>00152</t>
  </si>
  <si>
    <t>C4</t>
  </si>
  <si>
    <t>00034</t>
  </si>
  <si>
    <t>00107</t>
  </si>
  <si>
    <t>D2</t>
  </si>
  <si>
    <t>00052</t>
  </si>
  <si>
    <t>00158</t>
  </si>
  <si>
    <t>00168</t>
  </si>
  <si>
    <t>00035</t>
  </si>
  <si>
    <t>00113</t>
  </si>
  <si>
    <t>00150</t>
  </si>
  <si>
    <t>Rusmini</t>
  </si>
  <si>
    <t>D4</t>
  </si>
  <si>
    <t>00045</t>
  </si>
  <si>
    <t>00136</t>
  </si>
  <si>
    <t>E5</t>
  </si>
  <si>
    <t>00126</t>
  </si>
  <si>
    <t>E4</t>
  </si>
  <si>
    <t>00178</t>
  </si>
  <si>
    <t>Hendra</t>
  </si>
  <si>
    <t>00153</t>
  </si>
  <si>
    <t>00154</t>
  </si>
  <si>
    <t>00076</t>
  </si>
  <si>
    <t>00053</t>
  </si>
  <si>
    <t>Jalan</t>
  </si>
  <si>
    <t>00125</t>
  </si>
  <si>
    <t>00138</t>
  </si>
  <si>
    <t>00124</t>
  </si>
  <si>
    <t>00099</t>
  </si>
  <si>
    <t>00174</t>
  </si>
  <si>
    <t>A2</t>
  </si>
  <si>
    <t>00097</t>
  </si>
  <si>
    <t>00120</t>
  </si>
  <si>
    <t>00129</t>
  </si>
  <si>
    <t>00123</t>
  </si>
  <si>
    <t>00073</t>
  </si>
  <si>
    <t>B2</t>
  </si>
  <si>
    <t>00068</t>
  </si>
  <si>
    <t>B3</t>
  </si>
  <si>
    <t>00117</t>
  </si>
  <si>
    <t>00069</t>
  </si>
  <si>
    <t>00176</t>
  </si>
  <si>
    <t>00118</t>
  </si>
  <si>
    <t>00082</t>
  </si>
  <si>
    <t>B4</t>
  </si>
  <si>
    <t>00128</t>
  </si>
  <si>
    <t>00130</t>
  </si>
  <si>
    <t>00108</t>
  </si>
  <si>
    <t>00060</t>
  </si>
  <si>
    <t>00160</t>
  </si>
  <si>
    <t>00173</t>
  </si>
  <si>
    <t>00105</t>
  </si>
  <si>
    <t>00119</t>
  </si>
  <si>
    <t>00085</t>
  </si>
  <si>
    <t>00056</t>
  </si>
  <si>
    <t>00156</t>
  </si>
  <si>
    <t>00122</t>
  </si>
  <si>
    <t>00061</t>
  </si>
  <si>
    <t>00167</t>
  </si>
  <si>
    <t>00179</t>
  </si>
  <si>
    <t>00121</t>
  </si>
  <si>
    <t>00087</t>
  </si>
  <si>
    <t>00043</t>
  </si>
  <si>
    <t>C5</t>
  </si>
  <si>
    <t>00096</t>
  </si>
  <si>
    <t>00131</t>
  </si>
  <si>
    <t>00143</t>
  </si>
  <si>
    <t>RMH</t>
  </si>
  <si>
    <t>00093</t>
  </si>
  <si>
    <t>00032</t>
  </si>
  <si>
    <t>00040</t>
  </si>
  <si>
    <t>00091</t>
  </si>
  <si>
    <t>00098</t>
  </si>
  <si>
    <t>00051</t>
  </si>
  <si>
    <t>00088</t>
  </si>
  <si>
    <t>00151</t>
  </si>
  <si>
    <t>00155</t>
  </si>
  <si>
    <t>00033</t>
  </si>
  <si>
    <t>00075</t>
  </si>
  <si>
    <t>00171</t>
  </si>
  <si>
    <t>00031</t>
  </si>
  <si>
    <t>00116</t>
  </si>
  <si>
    <t>00058</t>
  </si>
  <si>
    <t>00132</t>
  </si>
  <si>
    <t>00115</t>
  </si>
  <si>
    <t>00079</t>
  </si>
  <si>
    <t>00065</t>
  </si>
  <si>
    <t>00094</t>
  </si>
  <si>
    <t>00054</t>
  </si>
  <si>
    <t>00112</t>
  </si>
  <si>
    <t>00149</t>
  </si>
  <si>
    <t>00134</t>
  </si>
  <si>
    <t>00042</t>
  </si>
  <si>
    <t>00057</t>
  </si>
  <si>
    <t>00137</t>
  </si>
  <si>
    <t>00046</t>
  </si>
  <si>
    <t>00140</t>
  </si>
  <si>
    <t>00070</t>
  </si>
  <si>
    <t>00037</t>
  </si>
  <si>
    <t>00050</t>
  </si>
  <si>
    <t>00028</t>
  </si>
  <si>
    <t>00084</t>
  </si>
  <si>
    <t>00103</t>
  </si>
  <si>
    <t>D1</t>
  </si>
  <si>
    <t>00027</t>
  </si>
  <si>
    <t>00080</t>
  </si>
  <si>
    <t>00059</t>
  </si>
  <si>
    <t>00025</t>
  </si>
  <si>
    <t>00077</t>
  </si>
  <si>
    <t>00100</t>
  </si>
  <si>
    <t>00078</t>
  </si>
  <si>
    <t>00172</t>
  </si>
  <si>
    <t>00039</t>
  </si>
  <si>
    <t>00141</t>
  </si>
  <si>
    <t>00030</t>
  </si>
  <si>
    <t>00101</t>
  </si>
  <si>
    <t>00104</t>
  </si>
  <si>
    <t>00024</t>
  </si>
  <si>
    <t>00062</t>
  </si>
  <si>
    <t>00081</t>
  </si>
  <si>
    <t>00063</t>
  </si>
  <si>
    <t>00041</t>
  </si>
  <si>
    <t>00066</t>
  </si>
  <si>
    <t>00048</t>
  </si>
  <si>
    <t>00086</t>
  </si>
  <si>
    <t>00023</t>
  </si>
  <si>
    <t>00067</t>
  </si>
  <si>
    <t>00029</t>
  </si>
  <si>
    <t>00022</t>
  </si>
  <si>
    <t>00111</t>
  </si>
  <si>
    <t>00026</t>
  </si>
  <si>
    <t>00110</t>
  </si>
  <si>
    <t>00021</t>
  </si>
  <si>
    <t>00044</t>
  </si>
  <si>
    <t>D3</t>
  </si>
  <si>
    <t>00092</t>
  </si>
  <si>
    <t>00020</t>
  </si>
  <si>
    <t>00144</t>
  </si>
  <si>
    <t>00146</t>
  </si>
  <si>
    <t>00038</t>
  </si>
  <si>
    <t>00019</t>
  </si>
  <si>
    <t>00114</t>
  </si>
  <si>
    <t>00106</t>
  </si>
  <si>
    <t>00018</t>
  </si>
  <si>
    <t>00072</t>
  </si>
  <si>
    <t>Tanah Pusaka</t>
  </si>
  <si>
    <t>00047</t>
  </si>
  <si>
    <t>00017</t>
  </si>
  <si>
    <t>00102</t>
  </si>
  <si>
    <t>00016</t>
  </si>
  <si>
    <t>00036</t>
  </si>
  <si>
    <t>00159</t>
  </si>
  <si>
    <t>00074</t>
  </si>
  <si>
    <t>00015</t>
  </si>
  <si>
    <t>00148</t>
  </si>
  <si>
    <t>00014</t>
  </si>
  <si>
    <t>00142</t>
  </si>
  <si>
    <t>00013</t>
  </si>
  <si>
    <t>00180</t>
  </si>
  <si>
    <t>00145</t>
  </si>
  <si>
    <t>00083</t>
  </si>
  <si>
    <t>00147</t>
  </si>
  <si>
    <t>00162</t>
  </si>
  <si>
    <t>774</t>
  </si>
  <si>
    <t>Tamrin</t>
  </si>
  <si>
    <t xml:space="preserve">6101061807630004 </t>
  </si>
  <si>
    <t>7.SEKUDUK 1 168  BIDANG.dwg</t>
  </si>
  <si>
    <t>24.230-08.3</t>
  </si>
  <si>
    <t>775</t>
  </si>
  <si>
    <t>Samsul</t>
  </si>
  <si>
    <t>776</t>
  </si>
  <si>
    <t>Marpuah</t>
  </si>
  <si>
    <t xml:space="preserve">6101064207530003 </t>
  </si>
  <si>
    <t>777</t>
  </si>
  <si>
    <t>Mutamam Alm</t>
  </si>
  <si>
    <t xml:space="preserve">6101060306600004 </t>
  </si>
  <si>
    <t>778</t>
  </si>
  <si>
    <t>Sabiran</t>
  </si>
  <si>
    <t xml:space="preserve">6101061801690002 </t>
  </si>
  <si>
    <t>779</t>
  </si>
  <si>
    <t>Wafida</t>
  </si>
  <si>
    <t>780</t>
  </si>
  <si>
    <t>Azizah</t>
  </si>
  <si>
    <t xml:space="preserve">6101065012850001 </t>
  </si>
  <si>
    <t>781</t>
  </si>
  <si>
    <t>782</t>
  </si>
  <si>
    <t>Tarmuzi</t>
  </si>
  <si>
    <t>783</t>
  </si>
  <si>
    <t>Rusminin</t>
  </si>
  <si>
    <t xml:space="preserve">6101060301710002 </t>
  </si>
  <si>
    <t>784</t>
  </si>
  <si>
    <t>6101066307670001</t>
  </si>
  <si>
    <t>785</t>
  </si>
  <si>
    <t>Musfalah</t>
  </si>
  <si>
    <t xml:space="preserve">6101064103750003 </t>
  </si>
  <si>
    <t>786</t>
  </si>
  <si>
    <t xml:space="preserve">Reza Wahyudin </t>
  </si>
  <si>
    <t xml:space="preserve">6101061809990001 </t>
  </si>
  <si>
    <t>787</t>
  </si>
  <si>
    <t>Nuraliah</t>
  </si>
  <si>
    <t xml:space="preserve">6101065807810004 </t>
  </si>
  <si>
    <t>788</t>
  </si>
  <si>
    <t>Mawati</t>
  </si>
  <si>
    <t xml:space="preserve">6101064602720001 </t>
  </si>
  <si>
    <t>789</t>
  </si>
  <si>
    <t>Diwan</t>
  </si>
  <si>
    <t xml:space="preserve">6171041010760003 </t>
  </si>
  <si>
    <t>790</t>
  </si>
  <si>
    <t>Muslimin.s.e</t>
  </si>
  <si>
    <t xml:space="preserve">6101061904890001 </t>
  </si>
  <si>
    <t>791</t>
  </si>
  <si>
    <t>Zulpandi</t>
  </si>
  <si>
    <t xml:space="preserve">6101060610670002 </t>
  </si>
  <si>
    <t>792</t>
  </si>
  <si>
    <t>Mulik</t>
  </si>
  <si>
    <t>25.230-01.7</t>
  </si>
  <si>
    <t>793</t>
  </si>
  <si>
    <t>25.230-05.1</t>
  </si>
  <si>
    <t>794</t>
  </si>
  <si>
    <t>Hamri</t>
  </si>
  <si>
    <t xml:space="preserve">6101060507790004 </t>
  </si>
  <si>
    <t>795</t>
  </si>
  <si>
    <t>Dare</t>
  </si>
  <si>
    <t xml:space="preserve">6101064708270001 </t>
  </si>
  <si>
    <t>796</t>
  </si>
  <si>
    <t>Suhandi</t>
  </si>
  <si>
    <t>797</t>
  </si>
  <si>
    <t>798</t>
  </si>
  <si>
    <t>Mahrus</t>
  </si>
  <si>
    <t xml:space="preserve">6101062908540003 </t>
  </si>
  <si>
    <t>799</t>
  </si>
  <si>
    <t>Ardani</t>
  </si>
  <si>
    <t xml:space="preserve">6101061505730003 </t>
  </si>
  <si>
    <t>800</t>
  </si>
  <si>
    <t>801</t>
  </si>
  <si>
    <t xml:space="preserve">Sabaie </t>
  </si>
  <si>
    <t xml:space="preserve">6101061006500002 </t>
  </si>
  <si>
    <t>802</t>
  </si>
  <si>
    <t xml:space="preserve">M.husnul Walidain </t>
  </si>
  <si>
    <t xml:space="preserve">6101060101020004 </t>
  </si>
  <si>
    <t>803</t>
  </si>
  <si>
    <t>Sabahan</t>
  </si>
  <si>
    <t>6101060708800007</t>
  </si>
  <si>
    <t>804</t>
  </si>
  <si>
    <t xml:space="preserve">Khairun Nisa </t>
  </si>
  <si>
    <t xml:space="preserve">6101065612100001 </t>
  </si>
  <si>
    <t>25.230-01.4</t>
  </si>
  <si>
    <t>805</t>
  </si>
  <si>
    <t>H.hajirun</t>
  </si>
  <si>
    <t>806</t>
  </si>
  <si>
    <t>Hadili</t>
  </si>
  <si>
    <t xml:space="preserve">6101051906870002 </t>
  </si>
  <si>
    <t>807</t>
  </si>
  <si>
    <t xml:space="preserve">6101062908980002 </t>
  </si>
  <si>
    <t>808</t>
  </si>
  <si>
    <t>Edi</t>
  </si>
  <si>
    <t>809</t>
  </si>
  <si>
    <t>Muhammad Zainul Muazidin</t>
  </si>
  <si>
    <t xml:space="preserve">6101062109990003 </t>
  </si>
  <si>
    <t>810</t>
  </si>
  <si>
    <t>Mahilam</t>
  </si>
  <si>
    <t xml:space="preserve">6101065003630003 </t>
  </si>
  <si>
    <t>811</t>
  </si>
  <si>
    <t>Husin</t>
  </si>
  <si>
    <t xml:space="preserve">6101062205830002 </t>
  </si>
  <si>
    <t>812</t>
  </si>
  <si>
    <t xml:space="preserve">Juhni </t>
  </si>
  <si>
    <t xml:space="preserve">6101060210580003 </t>
  </si>
  <si>
    <t>813</t>
  </si>
  <si>
    <t>Budi</t>
  </si>
  <si>
    <t xml:space="preserve">6101060603740005 </t>
  </si>
  <si>
    <t>814</t>
  </si>
  <si>
    <t xml:space="preserve">6101066306600002 </t>
  </si>
  <si>
    <t>815</t>
  </si>
  <si>
    <t xml:space="preserve">Irma Suryani, S.pd.i </t>
  </si>
  <si>
    <t xml:space="preserve">6101064312650002 </t>
  </si>
  <si>
    <t>816</t>
  </si>
  <si>
    <t xml:space="preserve">Erlian </t>
  </si>
  <si>
    <t xml:space="preserve">6101060608650003 </t>
  </si>
  <si>
    <t>817</t>
  </si>
  <si>
    <t>Ependi</t>
  </si>
  <si>
    <t xml:space="preserve">6101061208640003 </t>
  </si>
  <si>
    <t>818</t>
  </si>
  <si>
    <t>H.hajar</t>
  </si>
  <si>
    <t>819</t>
  </si>
  <si>
    <t>Orang Sekuduk</t>
  </si>
  <si>
    <t>820</t>
  </si>
  <si>
    <t>Fahrurrozi</t>
  </si>
  <si>
    <t xml:space="preserve">6101062306020001 </t>
  </si>
  <si>
    <t>821</t>
  </si>
  <si>
    <t>Rusida</t>
  </si>
  <si>
    <t xml:space="preserve">6101065101690003 </t>
  </si>
  <si>
    <t>822</t>
  </si>
  <si>
    <t>Hairun</t>
  </si>
  <si>
    <t>823</t>
  </si>
  <si>
    <t>Iman</t>
  </si>
  <si>
    <t xml:space="preserve">6101062704720002 </t>
  </si>
  <si>
    <t>824</t>
  </si>
  <si>
    <t xml:space="preserve">Jamhur </t>
  </si>
  <si>
    <t xml:space="preserve">06171063012730001 </t>
  </si>
  <si>
    <t>825</t>
  </si>
  <si>
    <t>Aswad</t>
  </si>
  <si>
    <t xml:space="preserve">6101061601960002 </t>
  </si>
  <si>
    <t>826</t>
  </si>
  <si>
    <t>Hanimal</t>
  </si>
  <si>
    <t>827</t>
  </si>
  <si>
    <t>828</t>
  </si>
  <si>
    <t>Jamaludin</t>
  </si>
  <si>
    <t xml:space="preserve">6101061004640002 </t>
  </si>
  <si>
    <t>829</t>
  </si>
  <si>
    <t xml:space="preserve">Syarifah </t>
  </si>
  <si>
    <t xml:space="preserve">6101065409750002 </t>
  </si>
  <si>
    <t>830</t>
  </si>
  <si>
    <t>Abdiah/lebek</t>
  </si>
  <si>
    <t xml:space="preserve">6101066308530002 </t>
  </si>
  <si>
    <t>831</t>
  </si>
  <si>
    <t>Hajali</t>
  </si>
  <si>
    <t>6101061502880003</t>
  </si>
  <si>
    <t>832</t>
  </si>
  <si>
    <t>6101061807630005</t>
  </si>
  <si>
    <t>833</t>
  </si>
  <si>
    <t>Saluran Air</t>
  </si>
  <si>
    <t>834</t>
  </si>
  <si>
    <t>Hasman</t>
  </si>
  <si>
    <t>835</t>
  </si>
  <si>
    <t>Ikhwan</t>
  </si>
  <si>
    <t xml:space="preserve">6101060909730002 </t>
  </si>
  <si>
    <t>836</t>
  </si>
  <si>
    <t>Sapar</t>
  </si>
  <si>
    <t>837</t>
  </si>
  <si>
    <t>Wal'ah</t>
  </si>
  <si>
    <t xml:space="preserve">6101066003690001 </t>
  </si>
  <si>
    <t>838</t>
  </si>
  <si>
    <t>Erlian</t>
  </si>
  <si>
    <t>839</t>
  </si>
  <si>
    <t xml:space="preserve">Nuraliah </t>
  </si>
  <si>
    <t>840</t>
  </si>
  <si>
    <t>Herlian</t>
  </si>
  <si>
    <t>841</t>
  </si>
  <si>
    <t xml:space="preserve">Rahmi Anggraini </t>
  </si>
  <si>
    <t xml:space="preserve">6101066803100001 </t>
  </si>
  <si>
    <t>842</t>
  </si>
  <si>
    <t xml:space="preserve">Ika Zulaika </t>
  </si>
  <si>
    <t xml:space="preserve">6101065910930001 </t>
  </si>
  <si>
    <t>843</t>
  </si>
  <si>
    <t>844</t>
  </si>
  <si>
    <t xml:space="preserve">Husban, S.pd.i </t>
  </si>
  <si>
    <t xml:space="preserve">6101062111700003 </t>
  </si>
  <si>
    <t>845</t>
  </si>
  <si>
    <t>846</t>
  </si>
  <si>
    <t xml:space="preserve">Mau'izhotul Hasanah </t>
  </si>
  <si>
    <t xml:space="preserve">6101064310950003 </t>
  </si>
  <si>
    <t>847</t>
  </si>
  <si>
    <t xml:space="preserve">Aslia </t>
  </si>
  <si>
    <t xml:space="preserve">6101066309850003 </t>
  </si>
  <si>
    <t>848</t>
  </si>
  <si>
    <t xml:space="preserve">Zamhuri Noer, Amd </t>
  </si>
  <si>
    <t xml:space="preserve">6101060202760002 </t>
  </si>
  <si>
    <t>849</t>
  </si>
  <si>
    <t>Mawaddah</t>
  </si>
  <si>
    <t xml:space="preserve">6101066207780001 </t>
  </si>
  <si>
    <t>850</t>
  </si>
  <si>
    <t>Mashur</t>
  </si>
  <si>
    <t xml:space="preserve">6101060504780005 </t>
  </si>
  <si>
    <t>851</t>
  </si>
  <si>
    <t>Balkhi</t>
  </si>
  <si>
    <t xml:space="preserve">6101063005700002 </t>
  </si>
  <si>
    <t>852</t>
  </si>
  <si>
    <t>Abdullah</t>
  </si>
  <si>
    <t xml:space="preserve">6101060805750003 </t>
  </si>
  <si>
    <t>853</t>
  </si>
  <si>
    <t>Samiri</t>
  </si>
  <si>
    <t xml:space="preserve">6101061401620003 </t>
  </si>
  <si>
    <t>854</t>
  </si>
  <si>
    <t>Muna</t>
  </si>
  <si>
    <t xml:space="preserve">6101064107380009 </t>
  </si>
  <si>
    <t>855</t>
  </si>
  <si>
    <t>856</t>
  </si>
  <si>
    <t>857</t>
  </si>
  <si>
    <t>Suhardi</t>
  </si>
  <si>
    <t xml:space="preserve">6101062411820002 </t>
  </si>
  <si>
    <t>858</t>
  </si>
  <si>
    <t>Marini</t>
  </si>
  <si>
    <t xml:space="preserve">6101174408760001 </t>
  </si>
  <si>
    <t>859</t>
  </si>
  <si>
    <t>Kartono/samudi</t>
  </si>
  <si>
    <t xml:space="preserve">6101060505750003 </t>
  </si>
  <si>
    <t>860</t>
  </si>
  <si>
    <t>861</t>
  </si>
  <si>
    <t>Maizir</t>
  </si>
  <si>
    <t xml:space="preserve">6101062310860001 </t>
  </si>
  <si>
    <t>862</t>
  </si>
  <si>
    <t>Makmur</t>
  </si>
  <si>
    <t xml:space="preserve">6101062512600002 </t>
  </si>
  <si>
    <t>863</t>
  </si>
  <si>
    <t>Bain</t>
  </si>
  <si>
    <t xml:space="preserve">6101064905570001 </t>
  </si>
  <si>
    <t>864</t>
  </si>
  <si>
    <t>865</t>
  </si>
  <si>
    <t>866</t>
  </si>
  <si>
    <t xml:space="preserve">Dina Uswatun Hasanah </t>
  </si>
  <si>
    <t xml:space="preserve">6101066708970003 </t>
  </si>
  <si>
    <t>867</t>
  </si>
  <si>
    <t>868</t>
  </si>
  <si>
    <t>869</t>
  </si>
  <si>
    <t>870</t>
  </si>
  <si>
    <t>Abdiah</t>
  </si>
  <si>
    <t xml:space="preserve">6101065009450001 </t>
  </si>
  <si>
    <t>871</t>
  </si>
  <si>
    <t>Ita Lestari</t>
  </si>
  <si>
    <t xml:space="preserve">6101064105910002 </t>
  </si>
  <si>
    <t>872</t>
  </si>
  <si>
    <t>Hikmah</t>
  </si>
  <si>
    <t>6101067112800001</t>
  </si>
  <si>
    <t>873</t>
  </si>
  <si>
    <t>25.230-01.8</t>
  </si>
  <si>
    <t>874</t>
  </si>
  <si>
    <t>Ridwan</t>
  </si>
  <si>
    <t xml:space="preserve">6101171705750001 </t>
  </si>
  <si>
    <t>875</t>
  </si>
  <si>
    <t>25.230-05.2</t>
  </si>
  <si>
    <t>876</t>
  </si>
  <si>
    <t>Samsudi</t>
  </si>
  <si>
    <t xml:space="preserve">6101060808650003 </t>
  </si>
  <si>
    <t>877</t>
  </si>
  <si>
    <t xml:space="preserve">Yusran, Sp </t>
  </si>
  <si>
    <t xml:space="preserve">6101060812770005 </t>
  </si>
  <si>
    <t>878</t>
  </si>
  <si>
    <t>Karno</t>
  </si>
  <si>
    <t>6101061205880003</t>
  </si>
  <si>
    <t>879</t>
  </si>
  <si>
    <t>Samsunah</t>
  </si>
  <si>
    <t xml:space="preserve">6101065510490001 </t>
  </si>
  <si>
    <t>880</t>
  </si>
  <si>
    <t>H.kardi/dalin</t>
  </si>
  <si>
    <t xml:space="preserve">6101060406400001 </t>
  </si>
  <si>
    <t>881</t>
  </si>
  <si>
    <t>H.hendri</t>
  </si>
  <si>
    <t xml:space="preserve">6101062209730002 </t>
  </si>
  <si>
    <t>882</t>
  </si>
  <si>
    <t xml:space="preserve">Balkhi </t>
  </si>
  <si>
    <t>883</t>
  </si>
  <si>
    <t>Salbiah</t>
  </si>
  <si>
    <t xml:space="preserve">6101065908570002 </t>
  </si>
  <si>
    <t>884</t>
  </si>
  <si>
    <t>Muhammad Lan</t>
  </si>
  <si>
    <t xml:space="preserve">6101060506950003 </t>
  </si>
  <si>
    <t>885</t>
  </si>
  <si>
    <t>Anwari</t>
  </si>
  <si>
    <t xml:space="preserve">6101060101440002 </t>
  </si>
  <si>
    <t>886</t>
  </si>
  <si>
    <t>Uray Maulana</t>
  </si>
  <si>
    <t xml:space="preserve">6101191606870003 </t>
  </si>
  <si>
    <t>887</t>
  </si>
  <si>
    <t>888</t>
  </si>
  <si>
    <t xml:space="preserve">6101066208790002 </t>
  </si>
  <si>
    <t>889</t>
  </si>
  <si>
    <t>Sabirin</t>
  </si>
  <si>
    <t xml:space="preserve">6101062404430002 </t>
  </si>
  <si>
    <t>890</t>
  </si>
  <si>
    <t>Hairupan</t>
  </si>
  <si>
    <t xml:space="preserve">6101061008580002 </t>
  </si>
  <si>
    <t>891</t>
  </si>
  <si>
    <t>Summiati</t>
  </si>
  <si>
    <t xml:space="preserve">6101066110880002 </t>
  </si>
  <si>
    <t>892</t>
  </si>
  <si>
    <t>Wahidah</t>
  </si>
  <si>
    <t xml:space="preserve">6101066811580001 </t>
  </si>
  <si>
    <t>893</t>
  </si>
  <si>
    <t>Hamka</t>
  </si>
  <si>
    <t xml:space="preserve">6101060402620004 </t>
  </si>
  <si>
    <t>894</t>
  </si>
  <si>
    <t>Dalin</t>
  </si>
  <si>
    <t>895</t>
  </si>
  <si>
    <t>896</t>
  </si>
  <si>
    <t>897</t>
  </si>
  <si>
    <t>898</t>
  </si>
  <si>
    <t>899</t>
  </si>
  <si>
    <t xml:space="preserve">H.hendri </t>
  </si>
  <si>
    <t>900</t>
  </si>
  <si>
    <t>901</t>
  </si>
  <si>
    <t>Zarhah</t>
  </si>
  <si>
    <t xml:space="preserve">6101064512540002 </t>
  </si>
  <si>
    <t>902</t>
  </si>
  <si>
    <t>903</t>
  </si>
  <si>
    <t>Rubiha</t>
  </si>
  <si>
    <t>904</t>
  </si>
  <si>
    <t>905</t>
  </si>
  <si>
    <t>Musni</t>
  </si>
  <si>
    <t>906</t>
  </si>
  <si>
    <t>Hasbi</t>
  </si>
  <si>
    <t xml:space="preserve">6101060204670003 </t>
  </si>
  <si>
    <t>907</t>
  </si>
  <si>
    <t>Nahari</t>
  </si>
  <si>
    <t xml:space="preserve">6101060602480002 </t>
  </si>
  <si>
    <t>908</t>
  </si>
  <si>
    <t>909</t>
  </si>
  <si>
    <t xml:space="preserve">M.fiqri </t>
  </si>
  <si>
    <t xml:space="preserve">6101062803960004 </t>
  </si>
  <si>
    <t>910</t>
  </si>
  <si>
    <t>911</t>
  </si>
  <si>
    <t>Malik</t>
  </si>
  <si>
    <t xml:space="preserve">6101061012630003 </t>
  </si>
  <si>
    <t>912</t>
  </si>
  <si>
    <t>Wafidah</t>
  </si>
  <si>
    <t xml:space="preserve">6101064912730003 </t>
  </si>
  <si>
    <t>913</t>
  </si>
  <si>
    <t xml:space="preserve">6101066803830002 </t>
  </si>
  <si>
    <t>914</t>
  </si>
  <si>
    <t>915</t>
  </si>
  <si>
    <t>916</t>
  </si>
  <si>
    <t>917</t>
  </si>
  <si>
    <t>Nasobar</t>
  </si>
  <si>
    <t xml:space="preserve">6101060412680003 </t>
  </si>
  <si>
    <t>918</t>
  </si>
  <si>
    <t>919</t>
  </si>
  <si>
    <t>Munadi</t>
  </si>
  <si>
    <t xml:space="preserve">6101062003700002 </t>
  </si>
  <si>
    <t>920</t>
  </si>
  <si>
    <t>921</t>
  </si>
  <si>
    <t>922</t>
  </si>
  <si>
    <t>Sunardi</t>
  </si>
  <si>
    <t>923</t>
  </si>
  <si>
    <t>924</t>
  </si>
  <si>
    <t xml:space="preserve">Atri Sinta </t>
  </si>
  <si>
    <t xml:space="preserve">6101064505920003 </t>
  </si>
  <si>
    <t>925</t>
  </si>
  <si>
    <t>Makam</t>
  </si>
  <si>
    <t>926</t>
  </si>
  <si>
    <t>927</t>
  </si>
  <si>
    <t>Yanto</t>
  </si>
  <si>
    <t xml:space="preserve">6101060503720002 </t>
  </si>
  <si>
    <t>928</t>
  </si>
  <si>
    <t>Johan</t>
  </si>
  <si>
    <t>929</t>
  </si>
  <si>
    <t>Sungai</t>
  </si>
  <si>
    <t>930</t>
  </si>
  <si>
    <t>931</t>
  </si>
  <si>
    <t>932</t>
  </si>
  <si>
    <t xml:space="preserve">Jiran.z </t>
  </si>
  <si>
    <t xml:space="preserve">6101060803400001 </t>
  </si>
  <si>
    <t>933</t>
  </si>
  <si>
    <t>Tanah Desa</t>
  </si>
  <si>
    <t>934</t>
  </si>
  <si>
    <t>935</t>
  </si>
  <si>
    <t>Sinta</t>
  </si>
  <si>
    <t>936</t>
  </si>
  <si>
    <t>937</t>
  </si>
  <si>
    <t>938</t>
  </si>
  <si>
    <t>939</t>
  </si>
  <si>
    <t>940</t>
  </si>
  <si>
    <t>941</t>
  </si>
  <si>
    <t>sesuai gambar ukur 07/SEKUDUK/2026</t>
  </si>
  <si>
    <t xml:space="preserve">6101061807630005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</si>
</sst>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quotePrefix="1"/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4406-41BD-465B-BED0-7B373AE8ADAE}">
  <dimension ref="A1:Q169"/>
  <sheetViews>
    <sheetView tabSelected="1" workbookViewId="0">
      <selection activeCell="G9" sqref="G9"/>
    </sheetView>
  </sheetViews>
  <sheetFormatPr defaultColWidth="6.7109375" defaultRowHeight="15" x14ac:dyDescent="0.25"/>
  <cols>
    <col min="1" max="1" width="6.7109375" bestFit="1" customWidth="1"/>
    <col min="2" max="2" width="5" bestFit="1" customWidth="1"/>
    <col min="3" max="3" width="4.28515625" style="1" bestFit="1" customWidth="1"/>
    <col min="4" max="4" width="6" style="1" bestFit="1" customWidth="1"/>
    <col min="5" max="5" width="14.140625" style="1" bestFit="1" customWidth="1"/>
    <col min="6" max="6" width="11.28515625" style="1" bestFit="1" customWidth="1"/>
    <col min="7" max="7" width="65.140625" style="1" bestFit="1" customWidth="1"/>
    <col min="8" max="8" width="38" style="1" bestFit="1" customWidth="1"/>
    <col min="9" max="9" width="10.7109375" style="1" bestFit="1" customWidth="1"/>
    <col min="10" max="10" width="11.5703125" bestFit="1" customWidth="1"/>
    <col min="11" max="11" width="16.5703125" bestFit="1" customWidth="1"/>
    <col min="12" max="12" width="8.7109375" bestFit="1" customWidth="1"/>
    <col min="13" max="13" width="11.5703125" bestFit="1" customWidth="1"/>
    <col min="14" max="14" width="20.28515625" bestFit="1" customWidth="1"/>
    <col min="15" max="15" width="58.140625" bestFit="1" customWidth="1"/>
    <col min="16" max="16" width="13.5703125" bestFit="1" customWidth="1"/>
    <col min="17" max="17" width="4.28515625" bestFit="1" customWidth="1"/>
  </cols>
  <sheetData>
    <row r="1" spans="1:17" s="1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19</v>
      </c>
      <c r="P1" s="4" t="s">
        <v>15</v>
      </c>
      <c r="Q1" s="4" t="s">
        <v>2</v>
      </c>
    </row>
    <row r="2" spans="1:17" x14ac:dyDescent="0.25">
      <c r="A2" s="5">
        <v>1</v>
      </c>
      <c r="B2" s="5">
        <v>2</v>
      </c>
      <c r="C2" s="2">
        <v>138</v>
      </c>
      <c r="D2" s="3" t="s">
        <v>230</v>
      </c>
      <c r="E2" s="2" t="str">
        <f>IFERROR(IF(OR(VLOOKUP(D2,'Sheet1 (3)'!$C:$F,4,FALSE)="RMH",VLOOKUP(D2,'Sheet1 (3)'!$C:$F,4,FALSE)="PKR",VLOOKUP(D2,'Sheet1 (3)'!$C:$F,4,FALSE)=""),"Non Pertanian","Pertanian"),"Non Pertanian")</f>
        <v>Pertanian</v>
      </c>
      <c r="F2" s="2" t="s">
        <v>18</v>
      </c>
      <c r="G2" s="2" t="str">
        <f>IFERROR("Sesuai dengan petunjuk pemilik tanah : "&amp;VLOOKUP(D2,'Sheet1 (3)'!$C:$D,2,FALSE),"")</f>
        <v>Sesuai dengan petunjuk pemilik tanah : Tamrin</v>
      </c>
      <c r="H2" s="2" t="s">
        <v>625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17</v>
      </c>
      <c r="N2" s="2" t="str">
        <f>IFERROR(IF(VLOOKUP(D2,'Sheet1 (3)'!$C:$F,4,FALSE)="","Tanah Perkampungan",CHOOSE(MATCH(VLOOKUP(D2,'Sheet1 (3)'!$C:$F,4,FALSE),{"PKR","RMH","SWH","KBN"},0),"Tanah Perkampungan","Permukiman","Tanah Persawahan","Tanah Kebun")),"Tanah Pekarangan")</f>
        <v>Tanah Kebun</v>
      </c>
      <c r="O2" s="2" t="str">
        <f>IF(IFERROR(VLOOKUP(D2,'Sheet1 (3)'!$C:$G,5,FALSE),"")="K1","Pengukuran Terestris yang pemetaannya diikatkan ke peta foto","Identifikasi batas bidang tanah diatas peta foto/citra")</f>
        <v>Identifikasi batas bidang tanah diatas peta foto/citra</v>
      </c>
      <c r="P2" s="2">
        <v>0.4</v>
      </c>
      <c r="Q2" s="2"/>
    </row>
    <row r="3" spans="1:17" x14ac:dyDescent="0.25">
      <c r="A3" s="5">
        <v>2</v>
      </c>
      <c r="B3" s="5">
        <v>3</v>
      </c>
      <c r="C3" s="2">
        <v>138</v>
      </c>
      <c r="D3" s="3" t="s">
        <v>228</v>
      </c>
      <c r="E3" s="2" t="str">
        <f>IFERROR(IF(OR(VLOOKUP(D3,'Sheet1 (3)'!$C:$F,4,FALSE)="RMH",VLOOKUP(D3,'Sheet1 (3)'!$C:$F,4,FALSE)="PKR",VLOOKUP(D3,'Sheet1 (3)'!$C:$F,4,FALSE)=""),"Non Pertanian","Pertanian"),"Non Pertanian")</f>
        <v>Pertanian</v>
      </c>
      <c r="F3" s="2" t="s">
        <v>18</v>
      </c>
      <c r="G3" s="2" t="str">
        <f>IFERROR("Sesuai dengan petunjuk pemilik tanah : "&amp;VLOOKUP(D3,'Sheet1 (3)'!$C:$D,2,FALSE),"")</f>
        <v>Sesuai dengan petunjuk pemilik tanah : Samsul</v>
      </c>
      <c r="H3" s="2" t="s">
        <v>625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17</v>
      </c>
      <c r="N3" s="2" t="str">
        <f>IFERROR(IF(VLOOKUP(D3,'Sheet1 (3)'!$C:$F,4,FALSE)="","Tanah Perkampungan",CHOOSE(MATCH(VLOOKUP(D3,'Sheet1 (3)'!$C:$F,4,FALSE),{"PKR","RMH","SWH","KBN"},0),"Tanah Perkampungan","Permukiman","Tanah Persawahan","Tanah Kebun")),"Tanah Pekarangan")</f>
        <v>Tanah Kebun</v>
      </c>
      <c r="O3" s="2" t="str">
        <f>IF(IFERROR(VLOOKUP(D3,'Sheet1 (3)'!$C:$G,5,FALSE),"")="K1","Pengukuran Terestris yang pemetaannya diikatkan ke peta foto","Identifikasi batas bidang tanah diatas peta foto/citra")</f>
        <v>Identifikasi batas bidang tanah diatas peta foto/citra</v>
      </c>
      <c r="P3" s="2">
        <v>0.4</v>
      </c>
      <c r="Q3" s="2"/>
    </row>
    <row r="4" spans="1:17" x14ac:dyDescent="0.25">
      <c r="A4" s="5">
        <v>3</v>
      </c>
      <c r="B4" s="5">
        <v>4</v>
      </c>
      <c r="C4" s="2">
        <v>138</v>
      </c>
      <c r="D4" s="3" t="s">
        <v>226</v>
      </c>
      <c r="E4" s="2" t="str">
        <f>IFERROR(IF(OR(VLOOKUP(D4,'Sheet1 (3)'!$C:$F,4,FALSE)="RMH",VLOOKUP(D4,'Sheet1 (3)'!$C:$F,4,FALSE)="PKR",VLOOKUP(D4,'Sheet1 (3)'!$C:$F,4,FALSE)=""),"Non Pertanian","Pertanian"),"Non Pertanian")</f>
        <v>Pertanian</v>
      </c>
      <c r="F4" s="2" t="s">
        <v>18</v>
      </c>
      <c r="G4" s="2" t="str">
        <f>IFERROR("Sesuai dengan petunjuk pemilik tanah : "&amp;VLOOKUP(D4,'Sheet1 (3)'!$C:$D,2,FALSE),"")</f>
        <v>Sesuai dengan petunjuk pemilik tanah : Marpuah</v>
      </c>
      <c r="H4" s="2" t="s">
        <v>625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17</v>
      </c>
      <c r="N4" s="2" t="str">
        <f>IFERROR(IF(VLOOKUP(D4,'Sheet1 (3)'!$C:$F,4,FALSE)="","Tanah Perkampungan",CHOOSE(MATCH(VLOOKUP(D4,'Sheet1 (3)'!$C:$F,4,FALSE),{"PKR","RMH","SWH","KBN"},0),"Tanah Perkampungan","Permukiman","Tanah Persawahan","Tanah Kebun")),"Tanah Pekarangan")</f>
        <v>Tanah Kebun</v>
      </c>
      <c r="O4" s="2" t="str">
        <f>IF(IFERROR(VLOOKUP(D4,'Sheet1 (3)'!$C:$G,5,FALSE),"")="K1","Pengukuran Terestris yang pemetaannya diikatkan ke peta foto","Identifikasi batas bidang tanah diatas peta foto/citra")</f>
        <v>Identifikasi batas bidang tanah diatas peta foto/citra</v>
      </c>
      <c r="P4" s="2">
        <v>0.4</v>
      </c>
      <c r="Q4" s="2"/>
    </row>
    <row r="5" spans="1:17" x14ac:dyDescent="0.25">
      <c r="A5" s="5">
        <v>4</v>
      </c>
      <c r="B5" s="5">
        <v>5</v>
      </c>
      <c r="C5" s="2">
        <v>138</v>
      </c>
      <c r="D5" s="3" t="s">
        <v>222</v>
      </c>
      <c r="E5" s="2" t="str">
        <f>IFERROR(IF(OR(VLOOKUP(D5,'Sheet1 (3)'!$C:$F,4,FALSE)="RMH",VLOOKUP(D5,'Sheet1 (3)'!$C:$F,4,FALSE)="PKR",VLOOKUP(D5,'Sheet1 (3)'!$C:$F,4,FALSE)=""),"Non Pertanian","Pertanian"),"Non Pertanian")</f>
        <v>Pertanian</v>
      </c>
      <c r="F5" s="2" t="s">
        <v>18</v>
      </c>
      <c r="G5" s="2" t="str">
        <f>IFERROR("Sesuai dengan petunjuk pemilik tanah : "&amp;VLOOKUP(D5,'Sheet1 (3)'!$C:$D,2,FALSE),"")</f>
        <v>Sesuai dengan petunjuk pemilik tanah : Mutamam Alm</v>
      </c>
      <c r="H5" s="2" t="s">
        <v>625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17</v>
      </c>
      <c r="N5" s="2" t="str">
        <f>IFERROR(IF(VLOOKUP(D5,'Sheet1 (3)'!$C:$F,4,FALSE)="","Tanah Perkampungan",CHOOSE(MATCH(VLOOKUP(D5,'Sheet1 (3)'!$C:$F,4,FALSE),{"PKR","RMH","SWH","KBN"},0),"Tanah Perkampungan","Permukiman","Tanah Persawahan","Tanah Kebun")),"Tanah Pekarangan")</f>
        <v>Tanah Kebun</v>
      </c>
      <c r="O5" s="2" t="str">
        <f>IF(IFERROR(VLOOKUP(D5,'Sheet1 (3)'!$C:$G,5,FALSE),"")="K1","Pengukuran Terestris yang pemetaannya diikatkan ke peta foto","Identifikasi batas bidang tanah diatas peta foto/citra")</f>
        <v>Identifikasi batas bidang tanah diatas peta foto/citra</v>
      </c>
      <c r="P5" s="2">
        <v>0.4</v>
      </c>
      <c r="Q5" s="2"/>
    </row>
    <row r="6" spans="1:17" x14ac:dyDescent="0.25">
      <c r="A6" s="5">
        <v>5</v>
      </c>
      <c r="B6" s="5">
        <v>6</v>
      </c>
      <c r="C6" s="2">
        <v>138</v>
      </c>
      <c r="D6" s="3" t="s">
        <v>220</v>
      </c>
      <c r="E6" s="2" t="str">
        <f>IFERROR(IF(OR(VLOOKUP(D6,'Sheet1 (3)'!$C:$F,4,FALSE)="RMH",VLOOKUP(D6,'Sheet1 (3)'!$C:$F,4,FALSE)="PKR",VLOOKUP(D6,'Sheet1 (3)'!$C:$F,4,FALSE)=""),"Non Pertanian","Pertanian"),"Non Pertanian")</f>
        <v>Pertanian</v>
      </c>
      <c r="F6" s="2" t="s">
        <v>18</v>
      </c>
      <c r="G6" s="2" t="str">
        <f>IFERROR("Sesuai dengan petunjuk pemilik tanah : "&amp;VLOOKUP(D6,'Sheet1 (3)'!$C:$D,2,FALSE),"")</f>
        <v>Sesuai dengan petunjuk pemilik tanah : Sabiran</v>
      </c>
      <c r="H6" s="2" t="s">
        <v>625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17</v>
      </c>
      <c r="N6" s="2" t="str">
        <f>IFERROR(IF(VLOOKUP(D6,'Sheet1 (3)'!$C:$F,4,FALSE)="","Tanah Perkampungan",CHOOSE(MATCH(VLOOKUP(D6,'Sheet1 (3)'!$C:$F,4,FALSE),{"PKR","RMH","SWH","KBN"},0),"Tanah Perkampungan","Permukiman","Tanah Persawahan","Tanah Kebun")),"Tanah Pekarangan")</f>
        <v>Tanah Kebun</v>
      </c>
      <c r="O6" s="2" t="str">
        <f>IF(IFERROR(VLOOKUP(D6,'Sheet1 (3)'!$C:$G,5,FALSE),"")="K1","Pengukuran Terestris yang pemetaannya diikatkan ke peta foto","Identifikasi batas bidang tanah diatas peta foto/citra")</f>
        <v>Identifikasi batas bidang tanah diatas peta foto/citra</v>
      </c>
      <c r="P6" s="2">
        <v>0.4</v>
      </c>
      <c r="Q6" s="2"/>
    </row>
    <row r="7" spans="1:17" x14ac:dyDescent="0.25">
      <c r="A7" s="5">
        <v>6</v>
      </c>
      <c r="B7" s="5">
        <v>7</v>
      </c>
      <c r="C7" s="2">
        <v>138</v>
      </c>
      <c r="D7" s="3" t="s">
        <v>216</v>
      </c>
      <c r="E7" s="2" t="str">
        <f>IFERROR(IF(OR(VLOOKUP(D7,'Sheet1 (3)'!$C:$F,4,FALSE)="RMH",VLOOKUP(D7,'Sheet1 (3)'!$C:$F,4,FALSE)="PKR",VLOOKUP(D7,'Sheet1 (3)'!$C:$F,4,FALSE)=""),"Non Pertanian","Pertanian"),"Non Pertanian")</f>
        <v>Pertanian</v>
      </c>
      <c r="F7" s="2" t="s">
        <v>18</v>
      </c>
      <c r="G7" s="2" t="str">
        <f>IFERROR("Sesuai dengan petunjuk pemilik tanah : "&amp;VLOOKUP(D7,'Sheet1 (3)'!$C:$D,2,FALSE),"")</f>
        <v>Sesuai dengan petunjuk pemilik tanah : Wafida</v>
      </c>
      <c r="H7" s="2" t="s">
        <v>625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17</v>
      </c>
      <c r="N7" s="2" t="str">
        <f>IFERROR(IF(VLOOKUP(D7,'Sheet1 (3)'!$C:$F,4,FALSE)="","Tanah Perkampungan",CHOOSE(MATCH(VLOOKUP(D7,'Sheet1 (3)'!$C:$F,4,FALSE),{"PKR","RMH","SWH","KBN"},0),"Tanah Perkampungan","Permukiman","Tanah Persawahan","Tanah Kebun")),"Tanah Pekarangan")</f>
        <v>Tanah Kebun</v>
      </c>
      <c r="O7" s="2" t="str">
        <f>IF(IFERROR(VLOOKUP(D7,'Sheet1 (3)'!$C:$G,5,FALSE),"")="K1","Pengukuran Terestris yang pemetaannya diikatkan ke peta foto","Identifikasi batas bidang tanah diatas peta foto/citra")</f>
        <v>Identifikasi batas bidang tanah diatas peta foto/citra</v>
      </c>
      <c r="P7" s="2">
        <v>0.4</v>
      </c>
      <c r="Q7" s="2"/>
    </row>
    <row r="8" spans="1:17" x14ac:dyDescent="0.25">
      <c r="A8" s="5">
        <v>7</v>
      </c>
      <c r="B8" s="5">
        <v>8</v>
      </c>
      <c r="C8" s="2">
        <v>138</v>
      </c>
      <c r="D8" s="3" t="s">
        <v>213</v>
      </c>
      <c r="E8" s="2" t="str">
        <f>IFERROR(IF(OR(VLOOKUP(D8,'Sheet1 (3)'!$C:$F,4,FALSE)="RMH",VLOOKUP(D8,'Sheet1 (3)'!$C:$F,4,FALSE)="PKR",VLOOKUP(D8,'Sheet1 (3)'!$C:$F,4,FALSE)=""),"Non Pertanian","Pertanian"),"Non Pertanian")</f>
        <v>Pertanian</v>
      </c>
      <c r="F8" s="2" t="s">
        <v>18</v>
      </c>
      <c r="G8" s="2" t="str">
        <f>IFERROR("Sesuai dengan petunjuk pemilik tanah : "&amp;VLOOKUP(D8,'Sheet1 (3)'!$C:$D,2,FALSE),"")</f>
        <v>Sesuai dengan petunjuk pemilik tanah : Azizah</v>
      </c>
      <c r="H8" s="2" t="s">
        <v>625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17</v>
      </c>
      <c r="N8" s="2" t="str">
        <f>IFERROR(IF(VLOOKUP(D8,'Sheet1 (3)'!$C:$F,4,FALSE)="","Tanah Perkampungan",CHOOSE(MATCH(VLOOKUP(D8,'Sheet1 (3)'!$C:$F,4,FALSE),{"PKR","RMH","SWH","KBN"},0),"Tanah Perkampungan","Permukiman","Tanah Persawahan","Tanah Kebun")),"Tanah Pekarangan")</f>
        <v>Tanah Kebun</v>
      </c>
      <c r="O8" s="2" t="str">
        <f>IF(IFERROR(VLOOKUP(D8,'Sheet1 (3)'!$C:$G,5,FALSE),"")="K1","Pengukuran Terestris yang pemetaannya diikatkan ke peta foto","Identifikasi batas bidang tanah diatas peta foto/citra")</f>
        <v>Identifikasi batas bidang tanah diatas peta foto/citra</v>
      </c>
      <c r="P8" s="2">
        <v>0.4</v>
      </c>
      <c r="Q8" s="2"/>
    </row>
    <row r="9" spans="1:17" x14ac:dyDescent="0.25">
      <c r="A9" s="5">
        <v>8</v>
      </c>
      <c r="B9" s="5">
        <v>9</v>
      </c>
      <c r="C9" s="2">
        <v>138</v>
      </c>
      <c r="D9" s="3" t="s">
        <v>209</v>
      </c>
      <c r="E9" s="2" t="str">
        <f>IFERROR(IF(OR(VLOOKUP(D9,'Sheet1 (3)'!$C:$F,4,FALSE)="RMH",VLOOKUP(D9,'Sheet1 (3)'!$C:$F,4,FALSE)="PKR",VLOOKUP(D9,'Sheet1 (3)'!$C:$F,4,FALSE)=""),"Non Pertanian","Pertanian"),"Non Pertanian")</f>
        <v>Pertanian</v>
      </c>
      <c r="F9" s="2" t="s">
        <v>18</v>
      </c>
      <c r="G9" s="2" t="str">
        <f>IFERROR("Sesuai dengan petunjuk pemilik tanah : "&amp;VLOOKUP(D9,'Sheet1 (3)'!$C:$D,2,FALSE),"")</f>
        <v>Sesuai dengan petunjuk pemilik tanah : Mutamam Alm</v>
      </c>
      <c r="H9" s="2" t="s">
        <v>625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17</v>
      </c>
      <c r="N9" s="2" t="str">
        <f>IFERROR(IF(VLOOKUP(D9,'Sheet1 (3)'!$C:$F,4,FALSE)="","Tanah Perkampungan",CHOOSE(MATCH(VLOOKUP(D9,'Sheet1 (3)'!$C:$F,4,FALSE),{"PKR","RMH","SWH","KBN"},0),"Tanah Perkampungan","Permukiman","Tanah Persawahan","Tanah Kebun")),"Tanah Pekarangan")</f>
        <v>Tanah Kebun</v>
      </c>
      <c r="O9" s="2" t="str">
        <f>IF(IFERROR(VLOOKUP(D9,'Sheet1 (3)'!$C:$G,5,FALSE),"")="K1","Pengukuran Terestris yang pemetaannya diikatkan ke peta foto","Identifikasi batas bidang tanah diatas peta foto/citra")</f>
        <v>Identifikasi batas bidang tanah diatas peta foto/citra</v>
      </c>
      <c r="P9" s="2">
        <v>0.4</v>
      </c>
      <c r="Q9" s="2"/>
    </row>
    <row r="10" spans="1:17" x14ac:dyDescent="0.25">
      <c r="A10" s="5">
        <v>9</v>
      </c>
      <c r="B10" s="5">
        <v>10</v>
      </c>
      <c r="C10" s="2">
        <v>138</v>
      </c>
      <c r="D10" s="3" t="s">
        <v>205</v>
      </c>
      <c r="E10" s="2" t="str">
        <f>IFERROR(IF(OR(VLOOKUP(D10,'Sheet1 (3)'!$C:$F,4,FALSE)="RMH",VLOOKUP(D10,'Sheet1 (3)'!$C:$F,4,FALSE)="PKR",VLOOKUP(D10,'Sheet1 (3)'!$C:$F,4,FALSE)=""),"Non Pertanian","Pertanian"),"Non Pertanian")</f>
        <v>Pertanian</v>
      </c>
      <c r="F10" s="2" t="s">
        <v>18</v>
      </c>
      <c r="G10" s="2" t="str">
        <f>IFERROR("Sesuai dengan petunjuk pemilik tanah : "&amp;VLOOKUP(D10,'Sheet1 (3)'!$C:$D,2,FALSE),"")</f>
        <v>Sesuai dengan petunjuk pemilik tanah : Tarmuzi</v>
      </c>
      <c r="H10" s="2" t="s">
        <v>625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17</v>
      </c>
      <c r="N10" s="2" t="str">
        <f>IFERROR(IF(VLOOKUP(D10,'Sheet1 (3)'!$C:$F,4,FALSE)="","Tanah Perkampungan",CHOOSE(MATCH(VLOOKUP(D10,'Sheet1 (3)'!$C:$F,4,FALSE),{"PKR","RMH","SWH","KBN"},0),"Tanah Perkampungan","Permukiman","Tanah Persawahan","Tanah Kebun")),"Tanah Pekarangan")</f>
        <v>Tanah Kebun</v>
      </c>
      <c r="O10" s="2" t="str">
        <f>IF(IFERROR(VLOOKUP(D10,'Sheet1 (3)'!$C:$G,5,FALSE),"")="K1","Pengukuran Terestris yang pemetaannya diikatkan ke peta foto","Identifikasi batas bidang tanah diatas peta foto/citra")</f>
        <v>Identifikasi batas bidang tanah diatas peta foto/citra</v>
      </c>
      <c r="P10" s="2">
        <v>0.4</v>
      </c>
      <c r="Q10" s="2"/>
    </row>
    <row r="11" spans="1:17" x14ac:dyDescent="0.25">
      <c r="A11" s="5">
        <v>10</v>
      </c>
      <c r="B11" s="5">
        <v>11</v>
      </c>
      <c r="C11" s="2">
        <v>138</v>
      </c>
      <c r="D11" s="3" t="s">
        <v>201</v>
      </c>
      <c r="E11" s="2" t="str">
        <f>IFERROR(IF(OR(VLOOKUP(D11,'Sheet1 (3)'!$C:$F,4,FALSE)="RMH",VLOOKUP(D11,'Sheet1 (3)'!$C:$F,4,FALSE)="PKR",VLOOKUP(D11,'Sheet1 (3)'!$C:$F,4,FALSE)=""),"Non Pertanian","Pertanian"),"Non Pertanian")</f>
        <v>Pertanian</v>
      </c>
      <c r="F11" s="2" t="s">
        <v>18</v>
      </c>
      <c r="G11" s="2" t="str">
        <f>IFERROR("Sesuai dengan petunjuk pemilik tanah : "&amp;VLOOKUP(D11,'Sheet1 (3)'!$C:$D,2,FALSE),"")</f>
        <v>Sesuai dengan petunjuk pemilik tanah : Rusminin</v>
      </c>
      <c r="H11" s="2" t="s">
        <v>625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17</v>
      </c>
      <c r="N11" s="2" t="str">
        <f>IFERROR(IF(VLOOKUP(D11,'Sheet1 (3)'!$C:$F,4,FALSE)="","Tanah Perkampungan",CHOOSE(MATCH(VLOOKUP(D11,'Sheet1 (3)'!$C:$F,4,FALSE),{"PKR","RMH","SWH","KBN"},0),"Tanah Perkampungan","Permukiman","Tanah Persawahan","Tanah Kebun")),"Tanah Pekarangan")</f>
        <v>Tanah Kebun</v>
      </c>
      <c r="O11" s="2" t="str">
        <f>IF(IFERROR(VLOOKUP(D11,'Sheet1 (3)'!$C:$G,5,FALSE),"")="K1","Pengukuran Terestris yang pemetaannya diikatkan ke peta foto","Identifikasi batas bidang tanah diatas peta foto/citra")</f>
        <v>Identifikasi batas bidang tanah diatas peta foto/citra</v>
      </c>
      <c r="P11" s="2">
        <v>0.4</v>
      </c>
      <c r="Q11" s="2"/>
    </row>
    <row r="12" spans="1:17" x14ac:dyDescent="0.25">
      <c r="A12" s="5">
        <v>11</v>
      </c>
      <c r="B12" s="5">
        <v>12</v>
      </c>
      <c r="C12" s="2">
        <v>138</v>
      </c>
      <c r="D12" s="3" t="s">
        <v>198</v>
      </c>
      <c r="E12" s="2" t="str">
        <f>IFERROR(IF(OR(VLOOKUP(D12,'Sheet1 (3)'!$C:$F,4,FALSE)="RMH",VLOOKUP(D12,'Sheet1 (3)'!$C:$F,4,FALSE)="PKR",VLOOKUP(D12,'Sheet1 (3)'!$C:$F,4,FALSE)=""),"Non Pertanian","Pertanian"),"Non Pertanian")</f>
        <v>Pertanian</v>
      </c>
      <c r="F12" s="2" t="s">
        <v>18</v>
      </c>
      <c r="G12" s="2" t="str">
        <f>IFERROR("Sesuai dengan petunjuk pemilik tanah : "&amp;VLOOKUP(D12,'Sheet1 (3)'!$C:$D,2,FALSE),"")</f>
        <v>Sesuai dengan petunjuk pemilik tanah : Wafida</v>
      </c>
      <c r="H12" s="2" t="s">
        <v>625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17</v>
      </c>
      <c r="N12" s="2" t="str">
        <f>IFERROR(IF(VLOOKUP(D12,'Sheet1 (3)'!$C:$F,4,FALSE)="","Tanah Perkampungan",CHOOSE(MATCH(VLOOKUP(D12,'Sheet1 (3)'!$C:$F,4,FALSE),{"PKR","RMH","SWH","KBN"},0),"Tanah Perkampungan","Permukiman","Tanah Persawahan","Tanah Kebun")),"Tanah Pekarangan")</f>
        <v>Tanah Kebun</v>
      </c>
      <c r="O12" s="2" t="str">
        <f>IF(IFERROR(VLOOKUP(D12,'Sheet1 (3)'!$C:$G,5,FALSE),"")="K1","Pengukuran Terestris yang pemetaannya diikatkan ke peta foto","Identifikasi batas bidang tanah diatas peta foto/citra")</f>
        <v>Pengukuran Terestris yang pemetaannya diikatkan ke peta foto</v>
      </c>
      <c r="P12" s="2">
        <v>0.4</v>
      </c>
      <c r="Q12" s="2"/>
    </row>
    <row r="13" spans="1:17" x14ac:dyDescent="0.25">
      <c r="A13" s="5">
        <v>12</v>
      </c>
      <c r="B13" s="5">
        <v>13</v>
      </c>
      <c r="C13" s="2">
        <v>138</v>
      </c>
      <c r="D13" s="3" t="s">
        <v>190</v>
      </c>
      <c r="E13" s="2" t="str">
        <f>IFERROR(IF(OR(VLOOKUP(D13,'Sheet1 (3)'!$C:$F,4,FALSE)="RMH",VLOOKUP(D13,'Sheet1 (3)'!$C:$F,4,FALSE)="PKR",VLOOKUP(D13,'Sheet1 (3)'!$C:$F,4,FALSE)=""),"Non Pertanian","Pertanian"),"Non Pertanian")</f>
        <v>Pertanian</v>
      </c>
      <c r="F13" s="2" t="s">
        <v>18</v>
      </c>
      <c r="G13" s="2" t="str">
        <f>IFERROR("Sesuai dengan petunjuk pemilik tanah : "&amp;VLOOKUP(D13,'Sheet1 (3)'!$C:$D,2,FALSE),"")</f>
        <v>Sesuai dengan petunjuk pemilik tanah : Musfalah</v>
      </c>
      <c r="H13" s="2" t="s">
        <v>625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17</v>
      </c>
      <c r="N13" s="2" t="str">
        <f>IFERROR(IF(VLOOKUP(D13,'Sheet1 (3)'!$C:$F,4,FALSE)="","Tanah Perkampungan",CHOOSE(MATCH(VLOOKUP(D13,'Sheet1 (3)'!$C:$F,4,FALSE),{"PKR","RMH","SWH","KBN"},0),"Tanah Perkampungan","Permukiman","Tanah Persawahan","Tanah Kebun")),"Tanah Pekarangan")</f>
        <v>Tanah Kebun</v>
      </c>
      <c r="O13" s="2" t="str">
        <f>IF(IFERROR(VLOOKUP(D13,'Sheet1 (3)'!$C:$G,5,FALSE),"")="K1","Pengukuran Terestris yang pemetaannya diikatkan ke peta foto","Identifikasi batas bidang tanah diatas peta foto/citra")</f>
        <v>Pengukuran Terestris yang pemetaannya diikatkan ke peta foto</v>
      </c>
      <c r="P13" s="2">
        <v>0.4</v>
      </c>
      <c r="Q13" s="2"/>
    </row>
    <row r="14" spans="1:17" x14ac:dyDescent="0.25">
      <c r="A14" s="5">
        <v>13</v>
      </c>
      <c r="B14" s="5">
        <v>14</v>
      </c>
      <c r="C14" s="2">
        <v>138</v>
      </c>
      <c r="D14" s="3" t="s">
        <v>180</v>
      </c>
      <c r="E14" s="2" t="str">
        <f>IFERROR(IF(OR(VLOOKUP(D14,'Sheet1 (3)'!$C:$F,4,FALSE)="RMH",VLOOKUP(D14,'Sheet1 (3)'!$C:$F,4,FALSE)="PKR",VLOOKUP(D14,'Sheet1 (3)'!$C:$F,4,FALSE)=""),"Non Pertanian","Pertanian"),"Non Pertanian")</f>
        <v>Pertanian</v>
      </c>
      <c r="F14" s="2" t="s">
        <v>18</v>
      </c>
      <c r="G14" s="2" t="str">
        <f>IFERROR("Sesuai dengan petunjuk pemilik tanah : "&amp;VLOOKUP(D14,'Sheet1 (3)'!$C:$D,2,FALSE),"")</f>
        <v xml:space="preserve">Sesuai dengan petunjuk pemilik tanah : Reza Wahyudin </v>
      </c>
      <c r="H14" s="2" t="s">
        <v>625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17</v>
      </c>
      <c r="N14" s="2" t="str">
        <f>IFERROR(IF(VLOOKUP(D14,'Sheet1 (3)'!$C:$F,4,FALSE)="","Tanah Perkampungan",CHOOSE(MATCH(VLOOKUP(D14,'Sheet1 (3)'!$C:$F,4,FALSE),{"PKR","RMH","SWH","KBN"},0),"Tanah Perkampungan","Permukiman","Tanah Persawahan","Tanah Kebun")),"Tanah Pekarangan")</f>
        <v>Tanah Kebun</v>
      </c>
      <c r="O14" s="2" t="str">
        <f>IF(IFERROR(VLOOKUP(D14,'Sheet1 (3)'!$C:$G,5,FALSE),"")="K1","Pengukuran Terestris yang pemetaannya diikatkan ke peta foto","Identifikasi batas bidang tanah diatas peta foto/citra")</f>
        <v>Identifikasi batas bidang tanah diatas peta foto/citra</v>
      </c>
      <c r="P14" s="2">
        <v>0.4</v>
      </c>
      <c r="Q14" s="2"/>
    </row>
    <row r="15" spans="1:17" x14ac:dyDescent="0.25">
      <c r="A15" s="5">
        <v>14</v>
      </c>
      <c r="B15" s="5">
        <v>15</v>
      </c>
      <c r="C15" s="2">
        <v>138</v>
      </c>
      <c r="D15" s="3" t="s">
        <v>203</v>
      </c>
      <c r="E15" s="2" t="str">
        <f>IFERROR(IF(OR(VLOOKUP(D15,'Sheet1 (3)'!$C:$F,4,FALSE)="RMH",VLOOKUP(D15,'Sheet1 (3)'!$C:$F,4,FALSE)="PKR",VLOOKUP(D15,'Sheet1 (3)'!$C:$F,4,FALSE)=""),"Non Pertanian","Pertanian"),"Non Pertanian")</f>
        <v>Pertanian</v>
      </c>
      <c r="F15" s="2" t="s">
        <v>18</v>
      </c>
      <c r="G15" s="2" t="str">
        <f>IFERROR("Sesuai dengan petunjuk pemilik tanah : "&amp;VLOOKUP(D15,'Sheet1 (3)'!$C:$D,2,FALSE),"")</f>
        <v>Sesuai dengan petunjuk pemilik tanah : Nuraliah</v>
      </c>
      <c r="H15" s="2" t="s">
        <v>625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17</v>
      </c>
      <c r="N15" s="2" t="str">
        <f>IFERROR(IF(VLOOKUP(D15,'Sheet1 (3)'!$C:$F,4,FALSE)="","Tanah Perkampungan",CHOOSE(MATCH(VLOOKUP(D15,'Sheet1 (3)'!$C:$F,4,FALSE),{"PKR","RMH","SWH","KBN"},0),"Tanah Perkampungan","Permukiman","Tanah Persawahan","Tanah Kebun")),"Tanah Pekarangan")</f>
        <v>Tanah Kebun</v>
      </c>
      <c r="O15" s="2" t="str">
        <f>IF(IFERROR(VLOOKUP(D15,'Sheet1 (3)'!$C:$G,5,FALSE),"")="K1","Pengukuran Terestris yang pemetaannya diikatkan ke peta foto","Identifikasi batas bidang tanah diatas peta foto/citra")</f>
        <v>Identifikasi batas bidang tanah diatas peta foto/citra</v>
      </c>
      <c r="P15" s="2">
        <v>0.4</v>
      </c>
      <c r="Q15" s="2"/>
    </row>
    <row r="16" spans="1:17" x14ac:dyDescent="0.25">
      <c r="A16" s="5">
        <v>15</v>
      </c>
      <c r="B16" s="5">
        <v>16</v>
      </c>
      <c r="C16" s="2">
        <v>138</v>
      </c>
      <c r="D16" s="3" t="s">
        <v>177</v>
      </c>
      <c r="E16" s="2" t="str">
        <f>IFERROR(IF(OR(VLOOKUP(D16,'Sheet1 (3)'!$C:$F,4,FALSE)="RMH",VLOOKUP(D16,'Sheet1 (3)'!$C:$F,4,FALSE)="PKR",VLOOKUP(D16,'Sheet1 (3)'!$C:$F,4,FALSE)=""),"Non Pertanian","Pertanian"),"Non Pertanian")</f>
        <v>Pertanian</v>
      </c>
      <c r="F16" s="2" t="s">
        <v>18</v>
      </c>
      <c r="G16" s="2" t="str">
        <f>IFERROR("Sesuai dengan petunjuk pemilik tanah : "&amp;VLOOKUP(D16,'Sheet1 (3)'!$C:$D,2,FALSE),"")</f>
        <v>Sesuai dengan petunjuk pemilik tanah : Mawati</v>
      </c>
      <c r="H16" s="2" t="s">
        <v>625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17</v>
      </c>
      <c r="N16" s="2" t="str">
        <f>IFERROR(IF(VLOOKUP(D16,'Sheet1 (3)'!$C:$F,4,FALSE)="","Tanah Perkampungan",CHOOSE(MATCH(VLOOKUP(D16,'Sheet1 (3)'!$C:$F,4,FALSE),{"PKR","RMH","SWH","KBN"},0),"Tanah Perkampungan","Permukiman","Tanah Persawahan","Tanah Kebun")),"Tanah Pekarangan")</f>
        <v>Tanah Kebun</v>
      </c>
      <c r="O16" s="2" t="str">
        <f>IF(IFERROR(VLOOKUP(D16,'Sheet1 (3)'!$C:$G,5,FALSE),"")="K1","Pengukuran Terestris yang pemetaannya diikatkan ke peta foto","Identifikasi batas bidang tanah diatas peta foto/citra")</f>
        <v>Identifikasi batas bidang tanah diatas peta foto/citra</v>
      </c>
      <c r="P16" s="2">
        <v>0.4</v>
      </c>
      <c r="Q16" s="2"/>
    </row>
    <row r="17" spans="1:17" x14ac:dyDescent="0.25">
      <c r="A17" s="5">
        <v>16</v>
      </c>
      <c r="B17" s="5">
        <v>17</v>
      </c>
      <c r="C17" s="2">
        <v>138</v>
      </c>
      <c r="D17" s="3" t="s">
        <v>173</v>
      </c>
      <c r="E17" s="2" t="str">
        <f>IFERROR(IF(OR(VLOOKUP(D17,'Sheet1 (3)'!$C:$F,4,FALSE)="RMH",VLOOKUP(D17,'Sheet1 (3)'!$C:$F,4,FALSE)="PKR",VLOOKUP(D17,'Sheet1 (3)'!$C:$F,4,FALSE)=""),"Non Pertanian","Pertanian"),"Non Pertanian")</f>
        <v>Pertanian</v>
      </c>
      <c r="F17" s="2" t="s">
        <v>18</v>
      </c>
      <c r="G17" s="2" t="str">
        <f>IFERROR("Sesuai dengan petunjuk pemilik tanah : "&amp;VLOOKUP(D17,'Sheet1 (3)'!$C:$D,2,FALSE),"")</f>
        <v>Sesuai dengan petunjuk pemilik tanah : Diwan</v>
      </c>
      <c r="H17" s="2" t="s">
        <v>625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17</v>
      </c>
      <c r="N17" s="2" t="str">
        <f>IFERROR(IF(VLOOKUP(D17,'Sheet1 (3)'!$C:$F,4,FALSE)="","Tanah Perkampungan",CHOOSE(MATCH(VLOOKUP(D17,'Sheet1 (3)'!$C:$F,4,FALSE),{"PKR","RMH","SWH","KBN"},0),"Tanah Perkampungan","Permukiman","Tanah Persawahan","Tanah Kebun")),"Tanah Pekarangan")</f>
        <v>Tanah Kebun</v>
      </c>
      <c r="O17" s="2" t="str">
        <f>IF(IFERROR(VLOOKUP(D17,'Sheet1 (3)'!$C:$G,5,FALSE),"")="K1","Pengukuran Terestris yang pemetaannya diikatkan ke peta foto","Identifikasi batas bidang tanah diatas peta foto/citra")</f>
        <v>Pengukuran Terestris yang pemetaannya diikatkan ke peta foto</v>
      </c>
      <c r="P17" s="2">
        <v>0.4</v>
      </c>
      <c r="Q17" s="2"/>
    </row>
    <row r="18" spans="1:17" x14ac:dyDescent="0.25">
      <c r="A18" s="5">
        <v>17</v>
      </c>
      <c r="B18" s="5">
        <v>18</v>
      </c>
      <c r="C18" s="2">
        <v>138</v>
      </c>
      <c r="D18" s="3" t="s">
        <v>200</v>
      </c>
      <c r="E18" s="2" t="str">
        <f>IFERROR(IF(OR(VLOOKUP(D18,'Sheet1 (3)'!$C:$F,4,FALSE)="RMH",VLOOKUP(D18,'Sheet1 (3)'!$C:$F,4,FALSE)="PKR",VLOOKUP(D18,'Sheet1 (3)'!$C:$F,4,FALSE)=""),"Non Pertanian","Pertanian"),"Non Pertanian")</f>
        <v>Pertanian</v>
      </c>
      <c r="F18" s="2" t="s">
        <v>18</v>
      </c>
      <c r="G18" s="2" t="str">
        <f>IFERROR("Sesuai dengan petunjuk pemilik tanah : "&amp;VLOOKUP(D18,'Sheet1 (3)'!$C:$D,2,FALSE),"")</f>
        <v>Sesuai dengan petunjuk pemilik tanah : Muslimin.s.e</v>
      </c>
      <c r="H18" s="2" t="s">
        <v>625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17</v>
      </c>
      <c r="N18" s="2" t="str">
        <f>IFERROR(IF(VLOOKUP(D18,'Sheet1 (3)'!$C:$F,4,FALSE)="","Tanah Perkampungan",CHOOSE(MATCH(VLOOKUP(D18,'Sheet1 (3)'!$C:$F,4,FALSE),{"PKR","RMH","SWH","KBN"},0),"Tanah Perkampungan","Permukiman","Tanah Persawahan","Tanah Kebun")),"Tanah Pekarangan")</f>
        <v>Tanah Kebun</v>
      </c>
      <c r="O18" s="2" t="str">
        <f>IF(IFERROR(VLOOKUP(D18,'Sheet1 (3)'!$C:$G,5,FALSE),"")="K1","Pengukuran Terestris yang pemetaannya diikatkan ke peta foto","Identifikasi batas bidang tanah diatas peta foto/citra")</f>
        <v>Pengukuran Terestris yang pemetaannya diikatkan ke peta foto</v>
      </c>
      <c r="P18" s="2">
        <v>0.4</v>
      </c>
      <c r="Q18" s="2"/>
    </row>
    <row r="19" spans="1:17" x14ac:dyDescent="0.25">
      <c r="A19" s="5">
        <v>18</v>
      </c>
      <c r="B19" s="5">
        <v>19</v>
      </c>
      <c r="C19" s="2">
        <v>138</v>
      </c>
      <c r="D19" s="3" t="s">
        <v>187</v>
      </c>
      <c r="E19" s="2" t="str">
        <f>IFERROR(IF(OR(VLOOKUP(D19,'Sheet1 (3)'!$C:$F,4,FALSE)="RMH",VLOOKUP(D19,'Sheet1 (3)'!$C:$F,4,FALSE)="PKR",VLOOKUP(D19,'Sheet1 (3)'!$C:$F,4,FALSE)=""),"Non Pertanian","Pertanian"),"Non Pertanian")</f>
        <v>Pertanian</v>
      </c>
      <c r="F19" s="2" t="s">
        <v>18</v>
      </c>
      <c r="G19" s="2" t="str">
        <f>IFERROR("Sesuai dengan petunjuk pemilik tanah : "&amp;VLOOKUP(D19,'Sheet1 (3)'!$C:$D,2,FALSE),"")</f>
        <v>Sesuai dengan petunjuk pemilik tanah : Zulpandi</v>
      </c>
      <c r="H19" s="2" t="s">
        <v>625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17</v>
      </c>
      <c r="N19" s="2" t="str">
        <f>IFERROR(IF(VLOOKUP(D19,'Sheet1 (3)'!$C:$F,4,FALSE)="","Tanah Perkampungan",CHOOSE(MATCH(VLOOKUP(D19,'Sheet1 (3)'!$C:$F,4,FALSE),{"PKR","RMH","SWH","KBN"},0),"Tanah Perkampungan","Permukiman","Tanah Persawahan","Tanah Kebun")),"Tanah Pekarangan")</f>
        <v>Tanah Kebun</v>
      </c>
      <c r="O19" s="2" t="str">
        <f>IF(IFERROR(VLOOKUP(D19,'Sheet1 (3)'!$C:$G,5,FALSE),"")="K1","Pengukuran Terestris yang pemetaannya diikatkan ke peta foto","Identifikasi batas bidang tanah diatas peta foto/citra")</f>
        <v>Identifikasi batas bidang tanah diatas peta foto/citra</v>
      </c>
      <c r="P19" s="2">
        <v>0.4</v>
      </c>
      <c r="Q19" s="2"/>
    </row>
    <row r="20" spans="1:17" x14ac:dyDescent="0.25">
      <c r="A20" s="5">
        <v>19</v>
      </c>
      <c r="B20" s="5">
        <v>20</v>
      </c>
      <c r="C20" s="2">
        <v>138</v>
      </c>
      <c r="D20" s="3" t="s">
        <v>153</v>
      </c>
      <c r="E20" s="2" t="str">
        <f>IFERROR(IF(OR(VLOOKUP(D20,'Sheet1 (3)'!$C:$F,4,FALSE)="RMH",VLOOKUP(D20,'Sheet1 (3)'!$C:$F,4,FALSE)="PKR",VLOOKUP(D20,'Sheet1 (3)'!$C:$F,4,FALSE)=""),"Non Pertanian","Pertanian"),"Non Pertanian")</f>
        <v>Pertanian</v>
      </c>
      <c r="F20" s="2" t="s">
        <v>18</v>
      </c>
      <c r="G20" s="2" t="str">
        <f>IFERROR("Sesuai dengan petunjuk pemilik tanah : "&amp;VLOOKUP(D20,'Sheet1 (3)'!$C:$D,2,FALSE),"")</f>
        <v>Sesuai dengan petunjuk pemilik tanah : Mulik</v>
      </c>
      <c r="H20" s="2" t="s">
        <v>625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17</v>
      </c>
      <c r="N20" s="2" t="str">
        <f>IFERROR(IF(VLOOKUP(D20,'Sheet1 (3)'!$C:$F,4,FALSE)="","Tanah Perkampungan",CHOOSE(MATCH(VLOOKUP(D20,'Sheet1 (3)'!$C:$F,4,FALSE),{"PKR","RMH","SWH","KBN"},0),"Tanah Perkampungan","Permukiman","Tanah Persawahan","Tanah Kebun")),"Tanah Pekarangan")</f>
        <v>Tanah Kebun</v>
      </c>
      <c r="O20" s="2" t="str">
        <f>IF(IFERROR(VLOOKUP(D20,'Sheet1 (3)'!$C:$G,5,FALSE),"")="K1","Pengukuran Terestris yang pemetaannya diikatkan ke peta foto","Identifikasi batas bidang tanah diatas peta foto/citra")</f>
        <v>Identifikasi batas bidang tanah diatas peta foto/citra</v>
      </c>
      <c r="P20" s="2">
        <v>0.4</v>
      </c>
      <c r="Q20" s="2"/>
    </row>
    <row r="21" spans="1:17" x14ac:dyDescent="0.25">
      <c r="A21" s="5">
        <v>20</v>
      </c>
      <c r="B21" s="5">
        <v>21</v>
      </c>
      <c r="C21" s="2">
        <v>138</v>
      </c>
      <c r="D21" s="3" t="s">
        <v>142</v>
      </c>
      <c r="E21" s="2" t="str">
        <f>IFERROR(IF(OR(VLOOKUP(D21,'Sheet1 (3)'!$C:$F,4,FALSE)="RMH",VLOOKUP(D21,'Sheet1 (3)'!$C:$F,4,FALSE)="PKR",VLOOKUP(D21,'Sheet1 (3)'!$C:$F,4,FALSE)=""),"Non Pertanian","Pertanian"),"Non Pertanian")</f>
        <v>Pertanian</v>
      </c>
      <c r="F21" s="2" t="s">
        <v>18</v>
      </c>
      <c r="G21" s="2" t="str">
        <f>IFERROR("Sesuai dengan petunjuk pemilik tanah : "&amp;VLOOKUP(D21,'Sheet1 (3)'!$C:$D,2,FALSE),"")</f>
        <v>Sesuai dengan petunjuk pemilik tanah : Nuraliah</v>
      </c>
      <c r="H21" s="2" t="s">
        <v>625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17</v>
      </c>
      <c r="N21" s="2" t="str">
        <f>IFERROR(IF(VLOOKUP(D21,'Sheet1 (3)'!$C:$F,4,FALSE)="","Tanah Perkampungan",CHOOSE(MATCH(VLOOKUP(D21,'Sheet1 (3)'!$C:$F,4,FALSE),{"PKR","RMH","SWH","KBN"},0),"Tanah Perkampungan","Permukiman","Tanah Persawahan","Tanah Kebun")),"Tanah Pekarangan")</f>
        <v>Tanah Kebun</v>
      </c>
      <c r="O21" s="2" t="str">
        <f>IF(IFERROR(VLOOKUP(D21,'Sheet1 (3)'!$C:$G,5,FALSE),"")="K1","Pengukuran Terestris yang pemetaannya diikatkan ke peta foto","Identifikasi batas bidang tanah diatas peta foto/citra")</f>
        <v>Identifikasi batas bidang tanah diatas peta foto/citra</v>
      </c>
      <c r="P21" s="2">
        <v>0.4</v>
      </c>
      <c r="Q21" s="2"/>
    </row>
    <row r="22" spans="1:17" x14ac:dyDescent="0.25">
      <c r="A22" s="5">
        <v>21</v>
      </c>
      <c r="B22" s="5">
        <v>22</v>
      </c>
      <c r="C22" s="2">
        <v>138</v>
      </c>
      <c r="D22" s="3" t="s">
        <v>150</v>
      </c>
      <c r="E22" s="2" t="str">
        <f>IFERROR(IF(OR(VLOOKUP(D22,'Sheet1 (3)'!$C:$F,4,FALSE)="RMH",VLOOKUP(D22,'Sheet1 (3)'!$C:$F,4,FALSE)="PKR",VLOOKUP(D22,'Sheet1 (3)'!$C:$F,4,FALSE)=""),"Non Pertanian","Pertanian"),"Non Pertanian")</f>
        <v>Pertanian</v>
      </c>
      <c r="F22" s="2" t="s">
        <v>18</v>
      </c>
      <c r="G22" s="2" t="str">
        <f>IFERROR("Sesuai dengan petunjuk pemilik tanah : "&amp;VLOOKUP(D22,'Sheet1 (3)'!$C:$D,2,FALSE),"")</f>
        <v>Sesuai dengan petunjuk pemilik tanah : Hamri</v>
      </c>
      <c r="H22" s="2" t="s">
        <v>625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17</v>
      </c>
      <c r="N22" s="2" t="str">
        <f>IFERROR(IF(VLOOKUP(D22,'Sheet1 (3)'!$C:$F,4,FALSE)="","Tanah Perkampungan",CHOOSE(MATCH(VLOOKUP(D22,'Sheet1 (3)'!$C:$F,4,FALSE),{"PKR","RMH","SWH","KBN"},0),"Tanah Perkampungan","Permukiman","Tanah Persawahan","Tanah Kebun")),"Tanah Pekarangan")</f>
        <v>Tanah Kebun</v>
      </c>
      <c r="O22" s="2" t="str">
        <f>IF(IFERROR(VLOOKUP(D22,'Sheet1 (3)'!$C:$G,5,FALSE),"")="K1","Pengukuran Terestris yang pemetaannya diikatkan ke peta foto","Identifikasi batas bidang tanah diatas peta foto/citra")</f>
        <v>Identifikasi batas bidang tanah diatas peta foto/citra</v>
      </c>
      <c r="P22" s="2">
        <v>0.4</v>
      </c>
      <c r="Q22" s="2"/>
    </row>
    <row r="23" spans="1:17" x14ac:dyDescent="0.25">
      <c r="A23" s="5">
        <v>22</v>
      </c>
      <c r="B23" s="5">
        <v>23</v>
      </c>
      <c r="C23" s="2">
        <v>138</v>
      </c>
      <c r="D23" s="3" t="s">
        <v>75</v>
      </c>
      <c r="E23" s="2" t="str">
        <f>IFERROR(IF(OR(VLOOKUP(D23,'Sheet1 (3)'!$C:$F,4,FALSE)="RMH",VLOOKUP(D23,'Sheet1 (3)'!$C:$F,4,FALSE)="PKR",VLOOKUP(D23,'Sheet1 (3)'!$C:$F,4,FALSE)=""),"Non Pertanian","Pertanian"),"Non Pertanian")</f>
        <v>Pertanian</v>
      </c>
      <c r="F23" s="2" t="s">
        <v>18</v>
      </c>
      <c r="G23" s="2" t="str">
        <f>IFERROR("Sesuai dengan petunjuk pemilik tanah : "&amp;VLOOKUP(D23,'Sheet1 (3)'!$C:$D,2,FALSE),"")</f>
        <v>Sesuai dengan petunjuk pemilik tanah : Dare</v>
      </c>
      <c r="H23" s="2" t="s">
        <v>625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17</v>
      </c>
      <c r="N23" s="2" t="str">
        <f>IFERROR(IF(VLOOKUP(D23,'Sheet1 (3)'!$C:$F,4,FALSE)="","Tanah Perkampungan",CHOOSE(MATCH(VLOOKUP(D23,'Sheet1 (3)'!$C:$F,4,FALSE),{"PKR","RMH","SWH","KBN"},0),"Tanah Perkampungan","Permukiman","Tanah Persawahan","Tanah Kebun")),"Tanah Pekarangan")</f>
        <v>Tanah Kebun</v>
      </c>
      <c r="O23" s="2" t="str">
        <f>IF(IFERROR(VLOOKUP(D23,'Sheet1 (3)'!$C:$G,5,FALSE),"")="K1","Pengukuran Terestris yang pemetaannya diikatkan ke peta foto","Identifikasi batas bidang tanah diatas peta foto/citra")</f>
        <v>Identifikasi batas bidang tanah diatas peta foto/citra</v>
      </c>
      <c r="P23" s="2">
        <v>0.4</v>
      </c>
      <c r="Q23" s="2"/>
    </row>
    <row r="24" spans="1:17" x14ac:dyDescent="0.25">
      <c r="A24" s="5">
        <v>23</v>
      </c>
      <c r="B24" s="5">
        <v>24</v>
      </c>
      <c r="C24" s="2">
        <v>138</v>
      </c>
      <c r="D24" s="3" t="s">
        <v>81</v>
      </c>
      <c r="E24" s="2" t="str">
        <f>IFERROR(IF(OR(VLOOKUP(D24,'Sheet1 (3)'!$C:$F,4,FALSE)="RMH",VLOOKUP(D24,'Sheet1 (3)'!$C:$F,4,FALSE)="PKR",VLOOKUP(D24,'Sheet1 (3)'!$C:$F,4,FALSE)=""),"Non Pertanian","Pertanian"),"Non Pertanian")</f>
        <v>Pertanian</v>
      </c>
      <c r="F24" s="2" t="s">
        <v>18</v>
      </c>
      <c r="G24" s="2" t="str">
        <f>IFERROR("Sesuai dengan petunjuk pemilik tanah : "&amp;VLOOKUP(D24,'Sheet1 (3)'!$C:$D,2,FALSE),"")</f>
        <v>Sesuai dengan petunjuk pemilik tanah : Suhandi</v>
      </c>
      <c r="H24" s="2" t="s">
        <v>625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17</v>
      </c>
      <c r="N24" s="2" t="str">
        <f>IFERROR(IF(VLOOKUP(D24,'Sheet1 (3)'!$C:$F,4,FALSE)="","Tanah Perkampungan",CHOOSE(MATCH(VLOOKUP(D24,'Sheet1 (3)'!$C:$F,4,FALSE),{"PKR","RMH","SWH","KBN"},0),"Tanah Perkampungan","Permukiman","Tanah Persawahan","Tanah Kebun")),"Tanah Pekarangan")</f>
        <v>Tanah Kebun</v>
      </c>
      <c r="O24" s="2" t="str">
        <f>IF(IFERROR(VLOOKUP(D24,'Sheet1 (3)'!$C:$G,5,FALSE),"")="K1","Pengukuran Terestris yang pemetaannya diikatkan ke peta foto","Identifikasi batas bidang tanah diatas peta foto/citra")</f>
        <v>Identifikasi batas bidang tanah diatas peta foto/citra</v>
      </c>
      <c r="P24" s="2">
        <v>0.4</v>
      </c>
      <c r="Q24" s="2"/>
    </row>
    <row r="25" spans="1:17" x14ac:dyDescent="0.25">
      <c r="A25" s="5">
        <v>24</v>
      </c>
      <c r="B25" s="5">
        <v>25</v>
      </c>
      <c r="C25" s="2">
        <v>138</v>
      </c>
      <c r="D25" s="3" t="s">
        <v>223</v>
      </c>
      <c r="E25" s="2" t="str">
        <f>IFERROR(IF(OR(VLOOKUP(D25,'Sheet1 (3)'!$C:$F,4,FALSE)="RMH",VLOOKUP(D25,'Sheet1 (3)'!$C:$F,4,FALSE)="PKR",VLOOKUP(D25,'Sheet1 (3)'!$C:$F,4,FALSE)=""),"Non Pertanian","Pertanian"),"Non Pertanian")</f>
        <v>Pertanian</v>
      </c>
      <c r="F25" s="2" t="s">
        <v>18</v>
      </c>
      <c r="G25" s="2" t="str">
        <f>IFERROR("Sesuai dengan petunjuk pemilik tanah : "&amp;VLOOKUP(D25,'Sheet1 (3)'!$C:$D,2,FALSE),"")</f>
        <v>Sesuai dengan petunjuk pemilik tanah : Nuraliah</v>
      </c>
      <c r="H25" s="2" t="s">
        <v>625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17</v>
      </c>
      <c r="N25" s="2" t="str">
        <f>IFERROR(IF(VLOOKUP(D25,'Sheet1 (3)'!$C:$F,4,FALSE)="","Tanah Perkampungan",CHOOSE(MATCH(VLOOKUP(D25,'Sheet1 (3)'!$C:$F,4,FALSE),{"PKR","RMH","SWH","KBN"},0),"Tanah Perkampungan","Permukiman","Tanah Persawahan","Tanah Kebun")),"Tanah Pekarangan")</f>
        <v>Tanah Kebun</v>
      </c>
      <c r="O25" s="2" t="str">
        <f>IF(IFERROR(VLOOKUP(D25,'Sheet1 (3)'!$C:$G,5,FALSE),"")="K1","Pengukuran Terestris yang pemetaannya diikatkan ke peta foto","Identifikasi batas bidang tanah diatas peta foto/citra")</f>
        <v>Identifikasi batas bidang tanah diatas peta foto/citra</v>
      </c>
      <c r="P25" s="2">
        <v>0.4</v>
      </c>
      <c r="Q25" s="2"/>
    </row>
    <row r="26" spans="1:17" x14ac:dyDescent="0.25">
      <c r="A26" s="5">
        <v>25</v>
      </c>
      <c r="B26" s="5">
        <v>26</v>
      </c>
      <c r="C26" s="2">
        <v>138</v>
      </c>
      <c r="D26" s="3" t="s">
        <v>171</v>
      </c>
      <c r="E26" s="2" t="str">
        <f>IFERROR(IF(OR(VLOOKUP(D26,'Sheet1 (3)'!$C:$F,4,FALSE)="RMH",VLOOKUP(D26,'Sheet1 (3)'!$C:$F,4,FALSE)="PKR",VLOOKUP(D26,'Sheet1 (3)'!$C:$F,4,FALSE)=""),"Non Pertanian","Pertanian"),"Non Pertanian")</f>
        <v>Pertanian</v>
      </c>
      <c r="F26" s="2" t="s">
        <v>18</v>
      </c>
      <c r="G26" s="2" t="str">
        <f>IFERROR("Sesuai dengan petunjuk pemilik tanah : "&amp;VLOOKUP(D26,'Sheet1 (3)'!$C:$D,2,FALSE),"")</f>
        <v>Sesuai dengan petunjuk pemilik tanah : Mahrus</v>
      </c>
      <c r="H26" s="2" t="s">
        <v>625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17</v>
      </c>
      <c r="N26" s="2" t="str">
        <f>IFERROR(IF(VLOOKUP(D26,'Sheet1 (3)'!$C:$F,4,FALSE)="","Tanah Perkampungan",CHOOSE(MATCH(VLOOKUP(D26,'Sheet1 (3)'!$C:$F,4,FALSE),{"PKR","RMH","SWH","KBN"},0),"Tanah Perkampungan","Permukiman","Tanah Persawahan","Tanah Kebun")),"Tanah Pekarangan")</f>
        <v>Tanah Kebun</v>
      </c>
      <c r="O26" s="2" t="str">
        <f>IF(IFERROR(VLOOKUP(D26,'Sheet1 (3)'!$C:$G,5,FALSE),"")="K1","Pengukuran Terestris yang pemetaannya diikatkan ke peta foto","Identifikasi batas bidang tanah diatas peta foto/citra")</f>
        <v>Identifikasi batas bidang tanah diatas peta foto/citra</v>
      </c>
      <c r="P26" s="2">
        <v>0.4</v>
      </c>
      <c r="Q26" s="2"/>
    </row>
    <row r="27" spans="1:17" x14ac:dyDescent="0.25">
      <c r="A27" s="5">
        <v>26</v>
      </c>
      <c r="B27" s="5">
        <v>27</v>
      </c>
      <c r="C27" s="2">
        <v>138</v>
      </c>
      <c r="D27" s="3" t="s">
        <v>212</v>
      </c>
      <c r="E27" s="2" t="str">
        <f>IFERROR(IF(OR(VLOOKUP(D27,'Sheet1 (3)'!$C:$F,4,FALSE)="RMH",VLOOKUP(D27,'Sheet1 (3)'!$C:$F,4,FALSE)="PKR",VLOOKUP(D27,'Sheet1 (3)'!$C:$F,4,FALSE)=""),"Non Pertanian","Pertanian"),"Non Pertanian")</f>
        <v>Pertanian</v>
      </c>
      <c r="F27" s="2" t="s">
        <v>18</v>
      </c>
      <c r="G27" s="2" t="str">
        <f>IFERROR("Sesuai dengan petunjuk pemilik tanah : "&amp;VLOOKUP(D27,'Sheet1 (3)'!$C:$D,2,FALSE),"")</f>
        <v>Sesuai dengan petunjuk pemilik tanah : Ardani</v>
      </c>
      <c r="H27" s="2" t="s">
        <v>625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17</v>
      </c>
      <c r="N27" s="2" t="str">
        <f>IFERROR(IF(VLOOKUP(D27,'Sheet1 (3)'!$C:$F,4,FALSE)="","Tanah Perkampungan",CHOOSE(MATCH(VLOOKUP(D27,'Sheet1 (3)'!$C:$F,4,FALSE),{"PKR","RMH","SWH","KBN"},0),"Tanah Perkampungan","Permukiman","Tanah Persawahan","Tanah Kebun")),"Tanah Pekarangan")</f>
        <v>Tanah Kebun</v>
      </c>
      <c r="O27" s="2" t="str">
        <f>IF(IFERROR(VLOOKUP(D27,'Sheet1 (3)'!$C:$G,5,FALSE),"")="K1","Pengukuran Terestris yang pemetaannya diikatkan ke peta foto","Identifikasi batas bidang tanah diatas peta foto/citra")</f>
        <v>Identifikasi batas bidang tanah diatas peta foto/citra</v>
      </c>
      <c r="P27" s="2">
        <v>0.4</v>
      </c>
      <c r="Q27" s="2"/>
    </row>
    <row r="28" spans="1:17" x14ac:dyDescent="0.25">
      <c r="A28" s="5">
        <v>27</v>
      </c>
      <c r="B28" s="5">
        <v>28</v>
      </c>
      <c r="C28" s="2">
        <v>138</v>
      </c>
      <c r="D28" s="3" t="s">
        <v>185</v>
      </c>
      <c r="E28" s="2" t="str">
        <f>IFERROR(IF(OR(VLOOKUP(D28,'Sheet1 (3)'!$C:$F,4,FALSE)="RMH",VLOOKUP(D28,'Sheet1 (3)'!$C:$F,4,FALSE)="PKR",VLOOKUP(D28,'Sheet1 (3)'!$C:$F,4,FALSE)=""),"Non Pertanian","Pertanian"),"Non Pertanian")</f>
        <v>Pertanian</v>
      </c>
      <c r="F28" s="2" t="s">
        <v>18</v>
      </c>
      <c r="G28" s="2" t="str">
        <f>IFERROR("Sesuai dengan petunjuk pemilik tanah : "&amp;VLOOKUP(D28,'Sheet1 (3)'!$C:$D,2,FALSE),"")</f>
        <v>Sesuai dengan petunjuk pemilik tanah : Nuraliah</v>
      </c>
      <c r="H28" s="2" t="s">
        <v>625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17</v>
      </c>
      <c r="N28" s="2" t="str">
        <f>IFERROR(IF(VLOOKUP(D28,'Sheet1 (3)'!$C:$F,4,FALSE)="","Tanah Perkampungan",CHOOSE(MATCH(VLOOKUP(D28,'Sheet1 (3)'!$C:$F,4,FALSE),{"PKR","RMH","SWH","KBN"},0),"Tanah Perkampungan","Permukiman","Tanah Persawahan","Tanah Kebun")),"Tanah Pekarangan")</f>
        <v>Tanah Kebun</v>
      </c>
      <c r="O28" s="2" t="str">
        <f>IF(IFERROR(VLOOKUP(D28,'Sheet1 (3)'!$C:$G,5,FALSE),"")="K1","Pengukuran Terestris yang pemetaannya diikatkan ke peta foto","Identifikasi batas bidang tanah diatas peta foto/citra")</f>
        <v>Identifikasi batas bidang tanah diatas peta foto/citra</v>
      </c>
      <c r="P28" s="2">
        <v>0.4</v>
      </c>
      <c r="Q28" s="2"/>
    </row>
    <row r="29" spans="1:17" x14ac:dyDescent="0.25">
      <c r="A29" s="5">
        <v>28</v>
      </c>
      <c r="B29" s="5">
        <v>29</v>
      </c>
      <c r="C29" s="2">
        <v>138</v>
      </c>
      <c r="D29" s="3" t="s">
        <v>143</v>
      </c>
      <c r="E29" s="2" t="str">
        <f>IFERROR(IF(OR(VLOOKUP(D29,'Sheet1 (3)'!$C:$F,4,FALSE)="RMH",VLOOKUP(D29,'Sheet1 (3)'!$C:$F,4,FALSE)="PKR",VLOOKUP(D29,'Sheet1 (3)'!$C:$F,4,FALSE)=""),"Non Pertanian","Pertanian"),"Non Pertanian")</f>
        <v>Pertanian</v>
      </c>
      <c r="F29" s="2" t="s">
        <v>18</v>
      </c>
      <c r="G29" s="2" t="str">
        <f>IFERROR("Sesuai dengan petunjuk pemilik tanah : "&amp;VLOOKUP(D29,'Sheet1 (3)'!$C:$D,2,FALSE),"")</f>
        <v xml:space="preserve">Sesuai dengan petunjuk pemilik tanah : Sabaie </v>
      </c>
      <c r="H29" s="2" t="s">
        <v>625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17</v>
      </c>
      <c r="N29" s="2" t="str">
        <f>IFERROR(IF(VLOOKUP(D29,'Sheet1 (3)'!$C:$F,4,FALSE)="","Tanah Perkampungan",CHOOSE(MATCH(VLOOKUP(D29,'Sheet1 (3)'!$C:$F,4,FALSE),{"PKR","RMH","SWH","KBN"},0),"Tanah Perkampungan","Permukiman","Tanah Persawahan","Tanah Kebun")),"Tanah Pekarangan")</f>
        <v>Tanah Kebun</v>
      </c>
      <c r="O29" s="2" t="str">
        <f>IF(IFERROR(VLOOKUP(D29,'Sheet1 (3)'!$C:$G,5,FALSE),"")="K1","Pengukuran Terestris yang pemetaannya diikatkan ke peta foto","Identifikasi batas bidang tanah diatas peta foto/citra")</f>
        <v>Identifikasi batas bidang tanah diatas peta foto/citra</v>
      </c>
      <c r="P29" s="2">
        <v>0.4</v>
      </c>
      <c r="Q29" s="2"/>
    </row>
    <row r="30" spans="1:17" x14ac:dyDescent="0.25">
      <c r="A30" s="5">
        <v>29</v>
      </c>
      <c r="B30" s="5">
        <v>30</v>
      </c>
      <c r="C30" s="2">
        <v>138</v>
      </c>
      <c r="D30" s="3" t="s">
        <v>194</v>
      </c>
      <c r="E30" s="2" t="str">
        <f>IFERROR(IF(OR(VLOOKUP(D30,'Sheet1 (3)'!$C:$F,4,FALSE)="RMH",VLOOKUP(D30,'Sheet1 (3)'!$C:$F,4,FALSE)="PKR",VLOOKUP(D30,'Sheet1 (3)'!$C:$F,4,FALSE)=""),"Non Pertanian","Pertanian"),"Non Pertanian")</f>
        <v>Pertanian</v>
      </c>
      <c r="F30" s="2" t="s">
        <v>18</v>
      </c>
      <c r="G30" s="2" t="str">
        <f>IFERROR("Sesuai dengan petunjuk pemilik tanah : "&amp;VLOOKUP(D30,'Sheet1 (3)'!$C:$D,2,FALSE),"")</f>
        <v xml:space="preserve">Sesuai dengan petunjuk pemilik tanah : M.husnul Walidain </v>
      </c>
      <c r="H30" s="2" t="s">
        <v>625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17</v>
      </c>
      <c r="N30" s="2" t="str">
        <f>IFERROR(IF(VLOOKUP(D30,'Sheet1 (3)'!$C:$F,4,FALSE)="","Tanah Perkampungan",CHOOSE(MATCH(VLOOKUP(D30,'Sheet1 (3)'!$C:$F,4,FALSE),{"PKR","RMH","SWH","KBN"},0),"Tanah Perkampungan","Permukiman","Tanah Persawahan","Tanah Kebun")),"Tanah Pekarangan")</f>
        <v>Tanah Kebun</v>
      </c>
      <c r="O30" s="2" t="str">
        <f>IF(IFERROR(VLOOKUP(D30,'Sheet1 (3)'!$C:$G,5,FALSE),"")="K1","Pengukuran Terestris yang pemetaannya diikatkan ke peta foto","Identifikasi batas bidang tanah diatas peta foto/citra")</f>
        <v>Pengukuran Terestris yang pemetaannya diikatkan ke peta foto</v>
      </c>
      <c r="P30" s="2">
        <v>0.4</v>
      </c>
      <c r="Q30" s="2"/>
    </row>
    <row r="31" spans="1:17" x14ac:dyDescent="0.25">
      <c r="A31" s="5">
        <v>30</v>
      </c>
      <c r="B31" s="5">
        <v>31</v>
      </c>
      <c r="C31" s="2">
        <v>138</v>
      </c>
      <c r="D31" s="3" t="s">
        <v>165</v>
      </c>
      <c r="E31" s="2" t="str">
        <f>IFERROR(IF(OR(VLOOKUP(D31,'Sheet1 (3)'!$C:$F,4,FALSE)="RMH",VLOOKUP(D31,'Sheet1 (3)'!$C:$F,4,FALSE)="PKR",VLOOKUP(D31,'Sheet1 (3)'!$C:$F,4,FALSE)=""),"Non Pertanian","Pertanian"),"Non Pertanian")</f>
        <v>Pertanian</v>
      </c>
      <c r="F31" s="2" t="s">
        <v>18</v>
      </c>
      <c r="G31" s="2" t="str">
        <f>IFERROR("Sesuai dengan petunjuk pemilik tanah : "&amp;VLOOKUP(D31,'Sheet1 (3)'!$C:$D,2,FALSE),"")</f>
        <v>Sesuai dengan petunjuk pemilik tanah : Sabahan</v>
      </c>
      <c r="H31" s="2" t="s">
        <v>625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17</v>
      </c>
      <c r="N31" s="2" t="str">
        <f>IFERROR(IF(VLOOKUP(D31,'Sheet1 (3)'!$C:$F,4,FALSE)="","Tanah Perkampungan",CHOOSE(MATCH(VLOOKUP(D31,'Sheet1 (3)'!$C:$F,4,FALSE),{"PKR","RMH","SWH","KBN"},0),"Tanah Perkampungan","Permukiman","Tanah Persawahan","Tanah Kebun")),"Tanah Pekarangan")</f>
        <v>Tanah Kebun</v>
      </c>
      <c r="O31" s="2" t="str">
        <f>IF(IFERROR(VLOOKUP(D31,'Sheet1 (3)'!$C:$G,5,FALSE),"")="K1","Pengukuran Terestris yang pemetaannya diikatkan ke peta foto","Identifikasi batas bidang tanah diatas peta foto/citra")</f>
        <v>Identifikasi batas bidang tanah diatas peta foto/citra</v>
      </c>
      <c r="P31" s="2">
        <v>0.4</v>
      </c>
      <c r="Q31" s="2"/>
    </row>
    <row r="32" spans="1:17" x14ac:dyDescent="0.25">
      <c r="A32" s="5">
        <v>31</v>
      </c>
      <c r="B32" s="5">
        <v>32</v>
      </c>
      <c r="C32" s="2">
        <v>138</v>
      </c>
      <c r="D32" s="3" t="s">
        <v>135</v>
      </c>
      <c r="E32" s="2" t="str">
        <f>IFERROR(IF(OR(VLOOKUP(D32,'Sheet1 (3)'!$C:$F,4,FALSE)="RMH",VLOOKUP(D32,'Sheet1 (3)'!$C:$F,4,FALSE)="PKR",VLOOKUP(D32,'Sheet1 (3)'!$C:$F,4,FALSE)=""),"Non Pertanian","Pertanian"),"Non Pertanian")</f>
        <v>Pertanian</v>
      </c>
      <c r="F32" s="2" t="s">
        <v>18</v>
      </c>
      <c r="G32" s="2" t="str">
        <f>IFERROR("Sesuai dengan petunjuk pemilik tanah : "&amp;VLOOKUP(D32,'Sheet1 (3)'!$C:$D,2,FALSE),"")</f>
        <v xml:space="preserve">Sesuai dengan petunjuk pemilik tanah : Khairun Nisa </v>
      </c>
      <c r="H32" s="2" t="s">
        <v>625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17</v>
      </c>
      <c r="N32" s="2" t="str">
        <f>IFERROR(IF(VLOOKUP(D32,'Sheet1 (3)'!$C:$F,4,FALSE)="","Tanah Perkampungan",CHOOSE(MATCH(VLOOKUP(D32,'Sheet1 (3)'!$C:$F,4,FALSE),{"PKR","RMH","SWH","KBN"},0),"Tanah Perkampungan","Permukiman","Tanah Persawahan","Tanah Kebun")),"Tanah Pekarangan")</f>
        <v>Tanah Kebun</v>
      </c>
      <c r="O32" s="2" t="str">
        <f>IF(IFERROR(VLOOKUP(D32,'Sheet1 (3)'!$C:$G,5,FALSE),"")="K1","Pengukuran Terestris yang pemetaannya diikatkan ke peta foto","Identifikasi batas bidang tanah diatas peta foto/citra")</f>
        <v>Identifikasi batas bidang tanah diatas peta foto/citra</v>
      </c>
      <c r="P32" s="2">
        <v>0.4</v>
      </c>
      <c r="Q32" s="2"/>
    </row>
    <row r="33" spans="1:17" x14ac:dyDescent="0.25">
      <c r="A33" s="5">
        <v>32</v>
      </c>
      <c r="B33" s="5">
        <v>33</v>
      </c>
      <c r="C33" s="2">
        <v>138</v>
      </c>
      <c r="D33" s="3" t="s">
        <v>206</v>
      </c>
      <c r="E33" s="2" t="str">
        <f>IFERROR(IF(OR(VLOOKUP(D33,'Sheet1 (3)'!$C:$F,4,FALSE)="RMH",VLOOKUP(D33,'Sheet1 (3)'!$C:$F,4,FALSE)="PKR",VLOOKUP(D33,'Sheet1 (3)'!$C:$F,4,FALSE)=""),"Non Pertanian","Pertanian"),"Non Pertanian")</f>
        <v>Pertanian</v>
      </c>
      <c r="F33" s="2" t="s">
        <v>18</v>
      </c>
      <c r="G33" s="2" t="str">
        <f>IFERROR("Sesuai dengan petunjuk pemilik tanah : "&amp;VLOOKUP(D33,'Sheet1 (3)'!$C:$D,2,FALSE),"")</f>
        <v>Sesuai dengan petunjuk pemilik tanah : H.hajirun</v>
      </c>
      <c r="H33" s="2" t="s">
        <v>625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17</v>
      </c>
      <c r="N33" s="2" t="str">
        <f>IFERROR(IF(VLOOKUP(D33,'Sheet1 (3)'!$C:$F,4,FALSE)="","Tanah Perkampungan",CHOOSE(MATCH(VLOOKUP(D33,'Sheet1 (3)'!$C:$F,4,FALSE),{"PKR","RMH","SWH","KBN"},0),"Tanah Perkampungan","Permukiman","Tanah Persawahan","Tanah Kebun")),"Tanah Pekarangan")</f>
        <v>Tanah Kebun</v>
      </c>
      <c r="O33" s="2" t="str">
        <f>IF(IFERROR(VLOOKUP(D33,'Sheet1 (3)'!$C:$G,5,FALSE),"")="K1","Pengukuran Terestris yang pemetaannya diikatkan ke peta foto","Identifikasi batas bidang tanah diatas peta foto/citra")</f>
        <v>Identifikasi batas bidang tanah diatas peta foto/citra</v>
      </c>
      <c r="P33" s="2">
        <v>0.4</v>
      </c>
      <c r="Q33" s="2"/>
    </row>
    <row r="34" spans="1:17" x14ac:dyDescent="0.25">
      <c r="A34" s="5">
        <v>33</v>
      </c>
      <c r="B34" s="5">
        <v>34</v>
      </c>
      <c r="C34" s="2">
        <v>138</v>
      </c>
      <c r="D34" s="3" t="s">
        <v>86</v>
      </c>
      <c r="E34" s="2" t="str">
        <f>IFERROR(IF(OR(VLOOKUP(D34,'Sheet1 (3)'!$C:$F,4,FALSE)="RMH",VLOOKUP(D34,'Sheet1 (3)'!$C:$F,4,FALSE)="PKR",VLOOKUP(D34,'Sheet1 (3)'!$C:$F,4,FALSE)=""),"Non Pertanian","Pertanian"),"Non Pertanian")</f>
        <v>Pertanian</v>
      </c>
      <c r="F34" s="2" t="s">
        <v>18</v>
      </c>
      <c r="G34" s="2" t="str">
        <f>IFERROR("Sesuai dengan petunjuk pemilik tanah : "&amp;VLOOKUP(D34,'Sheet1 (3)'!$C:$D,2,FALSE),"")</f>
        <v>Sesuai dengan petunjuk pemilik tanah : Hadili</v>
      </c>
      <c r="H34" s="2" t="s">
        <v>625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17</v>
      </c>
      <c r="N34" s="2" t="str">
        <f>IFERROR(IF(VLOOKUP(D34,'Sheet1 (3)'!$C:$F,4,FALSE)="","Tanah Perkampungan",CHOOSE(MATCH(VLOOKUP(D34,'Sheet1 (3)'!$C:$F,4,FALSE),{"PKR","RMH","SWH","KBN"},0),"Tanah Perkampungan","Permukiman","Tanah Persawahan","Tanah Kebun")),"Tanah Pekarangan")</f>
        <v>Tanah Kebun</v>
      </c>
      <c r="O34" s="2" t="str">
        <f>IF(IFERROR(VLOOKUP(D34,'Sheet1 (3)'!$C:$G,5,FALSE),"")="K1","Pengukuran Terestris yang pemetaannya diikatkan ke peta foto","Identifikasi batas bidang tanah diatas peta foto/citra")</f>
        <v>Pengukuran Terestris yang pemetaannya diikatkan ke peta foto</v>
      </c>
      <c r="P34" s="2">
        <v>0.4</v>
      </c>
      <c r="Q34" s="2"/>
    </row>
    <row r="35" spans="1:17" x14ac:dyDescent="0.25">
      <c r="A35" s="5">
        <v>34</v>
      </c>
      <c r="B35" s="5">
        <v>35</v>
      </c>
      <c r="C35" s="2">
        <v>138</v>
      </c>
      <c r="D35" s="3" t="s">
        <v>168</v>
      </c>
      <c r="E35" s="2" t="str">
        <f>IFERROR(IF(OR(VLOOKUP(D35,'Sheet1 (3)'!$C:$F,4,FALSE)="RMH",VLOOKUP(D35,'Sheet1 (3)'!$C:$F,4,FALSE)="PKR",VLOOKUP(D35,'Sheet1 (3)'!$C:$F,4,FALSE)=""),"Non Pertanian","Pertanian"),"Non Pertanian")</f>
        <v>Pertanian</v>
      </c>
      <c r="F35" s="2" t="s">
        <v>18</v>
      </c>
      <c r="G35" s="2" t="str">
        <f>IFERROR("Sesuai dengan petunjuk pemilik tanah : "&amp;VLOOKUP(D35,'Sheet1 (3)'!$C:$D,2,FALSE),"")</f>
        <v>Sesuai dengan petunjuk pemilik tanah : Hendra</v>
      </c>
      <c r="H35" s="2" t="s">
        <v>625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17</v>
      </c>
      <c r="N35" s="2" t="str">
        <f>IFERROR(IF(VLOOKUP(D35,'Sheet1 (3)'!$C:$F,4,FALSE)="","Tanah Perkampungan",CHOOSE(MATCH(VLOOKUP(D35,'Sheet1 (3)'!$C:$F,4,FALSE),{"PKR","RMH","SWH","KBN"},0),"Tanah Perkampungan","Permukiman","Tanah Persawahan","Tanah Kebun")),"Tanah Pekarangan")</f>
        <v>Tanah Kebun</v>
      </c>
      <c r="O35" s="2" t="str">
        <f>IF(IFERROR(VLOOKUP(D35,'Sheet1 (3)'!$C:$G,5,FALSE),"")="K1","Pengukuran Terestris yang pemetaannya diikatkan ke peta foto","Identifikasi batas bidang tanah diatas peta foto/citra")</f>
        <v>Identifikasi batas bidang tanah diatas peta foto/citra</v>
      </c>
      <c r="P35" s="2">
        <v>0.4</v>
      </c>
      <c r="Q35" s="2"/>
    </row>
    <row r="36" spans="1:17" x14ac:dyDescent="0.25">
      <c r="A36" s="5">
        <v>35</v>
      </c>
      <c r="B36" s="5">
        <v>36</v>
      </c>
      <c r="C36" s="2">
        <v>138</v>
      </c>
      <c r="D36" s="3" t="s">
        <v>219</v>
      </c>
      <c r="E36" s="2" t="str">
        <f>IFERROR(IF(OR(VLOOKUP(D36,'Sheet1 (3)'!$C:$F,4,FALSE)="RMH",VLOOKUP(D36,'Sheet1 (3)'!$C:$F,4,FALSE)="PKR",VLOOKUP(D36,'Sheet1 (3)'!$C:$F,4,FALSE)=""),"Non Pertanian","Pertanian"),"Non Pertanian")</f>
        <v>Pertanian</v>
      </c>
      <c r="F36" s="2" t="s">
        <v>18</v>
      </c>
      <c r="G36" s="2" t="str">
        <f>IFERROR("Sesuai dengan petunjuk pemilik tanah : "&amp;VLOOKUP(D36,'Sheet1 (3)'!$C:$D,2,FALSE),"")</f>
        <v>Sesuai dengan petunjuk pemilik tanah : Edi</v>
      </c>
      <c r="H36" s="2" t="s">
        <v>625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17</v>
      </c>
      <c r="N36" s="2" t="str">
        <f>IFERROR(IF(VLOOKUP(D36,'Sheet1 (3)'!$C:$F,4,FALSE)="","Tanah Perkampungan",CHOOSE(MATCH(VLOOKUP(D36,'Sheet1 (3)'!$C:$F,4,FALSE),{"PKR","RMH","SWH","KBN"},0),"Tanah Perkampungan","Permukiman","Tanah Persawahan","Tanah Kebun")),"Tanah Pekarangan")</f>
        <v>Tanah Kebun</v>
      </c>
      <c r="O36" s="2" t="str">
        <f>IF(IFERROR(VLOOKUP(D36,'Sheet1 (3)'!$C:$G,5,FALSE),"")="K1","Pengukuran Terestris yang pemetaannya diikatkan ke peta foto","Identifikasi batas bidang tanah diatas peta foto/citra")</f>
        <v>Identifikasi batas bidang tanah diatas peta foto/citra</v>
      </c>
      <c r="P36" s="2">
        <v>0.4</v>
      </c>
      <c r="Q36" s="2"/>
    </row>
    <row r="37" spans="1:17" x14ac:dyDescent="0.25">
      <c r="A37" s="5">
        <v>36</v>
      </c>
      <c r="B37" s="5">
        <v>37</v>
      </c>
      <c r="C37" s="2">
        <v>138</v>
      </c>
      <c r="D37" s="3" t="s">
        <v>196</v>
      </c>
      <c r="E37" s="2" t="str">
        <f>IFERROR(IF(OR(VLOOKUP(D37,'Sheet1 (3)'!$C:$F,4,FALSE)="RMH",VLOOKUP(D37,'Sheet1 (3)'!$C:$F,4,FALSE)="PKR",VLOOKUP(D37,'Sheet1 (3)'!$C:$F,4,FALSE)=""),"Non Pertanian","Pertanian"),"Non Pertanian")</f>
        <v>Pertanian</v>
      </c>
      <c r="F37" s="2" t="s">
        <v>18</v>
      </c>
      <c r="G37" s="2" t="str">
        <f>IFERROR("Sesuai dengan petunjuk pemilik tanah : "&amp;VLOOKUP(D37,'Sheet1 (3)'!$C:$D,2,FALSE),"")</f>
        <v>Sesuai dengan petunjuk pemilik tanah : Muhammad Zainul Muazidin</v>
      </c>
      <c r="H37" s="2" t="s">
        <v>625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17</v>
      </c>
      <c r="N37" s="2" t="str">
        <f>IFERROR(IF(VLOOKUP(D37,'Sheet1 (3)'!$C:$F,4,FALSE)="","Tanah Perkampungan",CHOOSE(MATCH(VLOOKUP(D37,'Sheet1 (3)'!$C:$F,4,FALSE),{"PKR","RMH","SWH","KBN"},0),"Tanah Perkampungan","Permukiman","Tanah Persawahan","Tanah Kebun")),"Tanah Pekarangan")</f>
        <v>Tanah Kebun</v>
      </c>
      <c r="O37" s="2" t="str">
        <f>IF(IFERROR(VLOOKUP(D37,'Sheet1 (3)'!$C:$G,5,FALSE),"")="K1","Pengukuran Terestris yang pemetaannya diikatkan ke peta foto","Identifikasi batas bidang tanah diatas peta foto/citra")</f>
        <v>Pengukuran Terestris yang pemetaannya diikatkan ke peta foto</v>
      </c>
      <c r="P37" s="2">
        <v>0.4</v>
      </c>
      <c r="Q37" s="2"/>
    </row>
    <row r="38" spans="1:17" x14ac:dyDescent="0.25">
      <c r="A38" s="5">
        <v>37</v>
      </c>
      <c r="B38" s="5">
        <v>38</v>
      </c>
      <c r="C38" s="2">
        <v>138</v>
      </c>
      <c r="D38" s="3" t="s">
        <v>70</v>
      </c>
      <c r="E38" s="2" t="str">
        <f>IFERROR(IF(OR(VLOOKUP(D38,'Sheet1 (3)'!$C:$F,4,FALSE)="RMH",VLOOKUP(D38,'Sheet1 (3)'!$C:$F,4,FALSE)="PKR",VLOOKUP(D38,'Sheet1 (3)'!$C:$F,4,FALSE)=""),"Non Pertanian","Pertanian"),"Non Pertanian")</f>
        <v>Pertanian</v>
      </c>
      <c r="F38" s="2" t="s">
        <v>18</v>
      </c>
      <c r="G38" s="2" t="str">
        <f>IFERROR("Sesuai dengan petunjuk pemilik tanah : "&amp;VLOOKUP(D38,'Sheet1 (3)'!$C:$D,2,FALSE),"")</f>
        <v>Sesuai dengan petunjuk pemilik tanah : Mahilam</v>
      </c>
      <c r="H38" s="2" t="s">
        <v>625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17</v>
      </c>
      <c r="N38" s="2" t="str">
        <f>IFERROR(IF(VLOOKUP(D38,'Sheet1 (3)'!$C:$F,4,FALSE)="","Tanah Perkampungan",CHOOSE(MATCH(VLOOKUP(D38,'Sheet1 (3)'!$C:$F,4,FALSE),{"PKR","RMH","SWH","KBN"},0),"Tanah Perkampungan","Permukiman","Tanah Persawahan","Tanah Kebun")),"Tanah Pekarangan")</f>
        <v>Tanah Kebun</v>
      </c>
      <c r="O38" s="2" t="str">
        <f>IF(IFERROR(VLOOKUP(D38,'Sheet1 (3)'!$C:$G,5,FALSE),"")="K1","Pengukuran Terestris yang pemetaannya diikatkan ke peta foto","Identifikasi batas bidang tanah diatas peta foto/citra")</f>
        <v>Identifikasi batas bidang tanah diatas peta foto/citra</v>
      </c>
      <c r="P38" s="2">
        <v>0.4</v>
      </c>
      <c r="Q38" s="2"/>
    </row>
    <row r="39" spans="1:17" x14ac:dyDescent="0.25">
      <c r="A39" s="5">
        <v>38</v>
      </c>
      <c r="B39" s="5">
        <v>39</v>
      </c>
      <c r="C39" s="2">
        <v>138</v>
      </c>
      <c r="D39" s="3" t="s">
        <v>172</v>
      </c>
      <c r="E39" s="2" t="str">
        <f>IFERROR(IF(OR(VLOOKUP(D39,'Sheet1 (3)'!$C:$F,4,FALSE)="RMH",VLOOKUP(D39,'Sheet1 (3)'!$C:$F,4,FALSE)="PKR",VLOOKUP(D39,'Sheet1 (3)'!$C:$F,4,FALSE)=""),"Non Pertanian","Pertanian"),"Non Pertanian")</f>
        <v>Pertanian</v>
      </c>
      <c r="F39" s="2" t="s">
        <v>18</v>
      </c>
      <c r="G39" s="2" t="str">
        <f>IFERROR("Sesuai dengan petunjuk pemilik tanah : "&amp;VLOOKUP(D39,'Sheet1 (3)'!$C:$D,2,FALSE),"")</f>
        <v>Sesuai dengan petunjuk pemilik tanah : Husin</v>
      </c>
      <c r="H39" s="2" t="s">
        <v>625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17</v>
      </c>
      <c r="N39" s="2" t="str">
        <f>IFERROR(IF(VLOOKUP(D39,'Sheet1 (3)'!$C:$F,4,FALSE)="","Tanah Perkampungan",CHOOSE(MATCH(VLOOKUP(D39,'Sheet1 (3)'!$C:$F,4,FALSE),{"PKR","RMH","SWH","KBN"},0),"Tanah Perkampungan","Permukiman","Tanah Persawahan","Tanah Kebun")),"Tanah Pekarangan")</f>
        <v>Tanah Kebun</v>
      </c>
      <c r="O39" s="2" t="str">
        <f>IF(IFERROR(VLOOKUP(D39,'Sheet1 (3)'!$C:$G,5,FALSE),"")="K1","Pengukuran Terestris yang pemetaannya diikatkan ke peta foto","Identifikasi batas bidang tanah diatas peta foto/citra")</f>
        <v>Identifikasi batas bidang tanah diatas peta foto/citra</v>
      </c>
      <c r="P39" s="2">
        <v>0.4</v>
      </c>
      <c r="Q39" s="2"/>
    </row>
    <row r="40" spans="1:17" x14ac:dyDescent="0.25">
      <c r="A40" s="5">
        <v>39</v>
      </c>
      <c r="B40" s="5">
        <v>40</v>
      </c>
      <c r="C40" s="2">
        <v>138</v>
      </c>
      <c r="D40" s="3" t="s">
        <v>146</v>
      </c>
      <c r="E40" s="2" t="str">
        <f>IFERROR(IF(OR(VLOOKUP(D40,'Sheet1 (3)'!$C:$F,4,FALSE)="RMH",VLOOKUP(D40,'Sheet1 (3)'!$C:$F,4,FALSE)="PKR",VLOOKUP(D40,'Sheet1 (3)'!$C:$F,4,FALSE)=""),"Non Pertanian","Pertanian"),"Non Pertanian")</f>
        <v>Pertanian</v>
      </c>
      <c r="F40" s="2" t="s">
        <v>18</v>
      </c>
      <c r="G40" s="2" t="str">
        <f>IFERROR("Sesuai dengan petunjuk pemilik tanah : "&amp;VLOOKUP(D40,'Sheet1 (3)'!$C:$D,2,FALSE),"")</f>
        <v xml:space="preserve">Sesuai dengan petunjuk pemilik tanah : Juhni </v>
      </c>
      <c r="H40" s="2" t="s">
        <v>625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17</v>
      </c>
      <c r="N40" s="2" t="str">
        <f>IFERROR(IF(VLOOKUP(D40,'Sheet1 (3)'!$C:$F,4,FALSE)="","Tanah Perkampungan",CHOOSE(MATCH(VLOOKUP(D40,'Sheet1 (3)'!$C:$F,4,FALSE),{"PKR","RMH","SWH","KBN"},0),"Tanah Perkampungan","Permukiman","Tanah Persawahan","Tanah Kebun")),"Tanah Pekarangan")</f>
        <v>Tanah Kebun</v>
      </c>
      <c r="O40" s="2" t="str">
        <f>IF(IFERROR(VLOOKUP(D40,'Sheet1 (3)'!$C:$G,5,FALSE),"")="K1","Pengukuran Terestris yang pemetaannya diikatkan ke peta foto","Identifikasi batas bidang tanah diatas peta foto/citra")</f>
        <v>Pengukuran Terestris yang pemetaannya diikatkan ke peta foto</v>
      </c>
      <c r="P40" s="2">
        <v>0.4</v>
      </c>
      <c r="Q40" s="2"/>
    </row>
    <row r="41" spans="1:17" x14ac:dyDescent="0.25">
      <c r="A41" s="5">
        <v>40</v>
      </c>
      <c r="B41" s="5">
        <v>41</v>
      </c>
      <c r="C41" s="2">
        <v>138</v>
      </c>
      <c r="D41" s="3" t="s">
        <v>78</v>
      </c>
      <c r="E41" s="2" t="str">
        <f>IFERROR(IF(OR(VLOOKUP(D41,'Sheet1 (3)'!$C:$F,4,FALSE)="RMH",VLOOKUP(D41,'Sheet1 (3)'!$C:$F,4,FALSE)="PKR",VLOOKUP(D41,'Sheet1 (3)'!$C:$F,4,FALSE)=""),"Non Pertanian","Pertanian"),"Non Pertanian")</f>
        <v>Pertanian</v>
      </c>
      <c r="F41" s="2" t="s">
        <v>18</v>
      </c>
      <c r="G41" s="2" t="str">
        <f>IFERROR("Sesuai dengan petunjuk pemilik tanah : "&amp;VLOOKUP(D41,'Sheet1 (3)'!$C:$D,2,FALSE),"")</f>
        <v>Sesuai dengan petunjuk pemilik tanah : Budi</v>
      </c>
      <c r="H41" s="2" t="s">
        <v>625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17</v>
      </c>
      <c r="N41" s="2" t="str">
        <f>IFERROR(IF(VLOOKUP(D41,'Sheet1 (3)'!$C:$F,4,FALSE)="","Tanah Perkampungan",CHOOSE(MATCH(VLOOKUP(D41,'Sheet1 (3)'!$C:$F,4,FALSE),{"PKR","RMH","SWH","KBN"},0),"Tanah Perkampungan","Permukiman","Tanah Persawahan","Tanah Kebun")),"Tanah Pekarangan")</f>
        <v>Tanah Kebun</v>
      </c>
      <c r="O41" s="2" t="str">
        <f>IF(IFERROR(VLOOKUP(D41,'Sheet1 (3)'!$C:$G,5,FALSE),"")="K1","Pengukuran Terestris yang pemetaannya diikatkan ke peta foto","Identifikasi batas bidang tanah diatas peta foto/citra")</f>
        <v>Identifikasi batas bidang tanah diatas peta foto/citra</v>
      </c>
      <c r="P41" s="2">
        <v>0.4</v>
      </c>
      <c r="Q41" s="2"/>
    </row>
    <row r="42" spans="1:17" x14ac:dyDescent="0.25">
      <c r="A42" s="5">
        <v>41</v>
      </c>
      <c r="B42" s="5">
        <v>42</v>
      </c>
      <c r="C42" s="2">
        <v>138</v>
      </c>
      <c r="D42" s="3" t="s">
        <v>96</v>
      </c>
      <c r="E42" s="2" t="str">
        <f>IFERROR(IF(OR(VLOOKUP(D42,'Sheet1 (3)'!$C:$F,4,FALSE)="RMH",VLOOKUP(D42,'Sheet1 (3)'!$C:$F,4,FALSE)="PKR",VLOOKUP(D42,'Sheet1 (3)'!$C:$F,4,FALSE)=""),"Non Pertanian","Pertanian"),"Non Pertanian")</f>
        <v>Pertanian</v>
      </c>
      <c r="F42" s="2" t="s">
        <v>18</v>
      </c>
      <c r="G42" s="2" t="str">
        <f>IFERROR("Sesuai dengan petunjuk pemilik tanah : "&amp;VLOOKUP(D42,'Sheet1 (3)'!$C:$D,2,FALSE),"")</f>
        <v>Sesuai dengan petunjuk pemilik tanah : Rusmini</v>
      </c>
      <c r="H42" s="2" t="s">
        <v>625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17</v>
      </c>
      <c r="N42" s="2" t="str">
        <f>IFERROR(IF(VLOOKUP(D42,'Sheet1 (3)'!$C:$F,4,FALSE)="","Tanah Perkampungan",CHOOSE(MATCH(VLOOKUP(D42,'Sheet1 (3)'!$C:$F,4,FALSE),{"PKR","RMH","SWH","KBN"},0),"Tanah Perkampungan","Permukiman","Tanah Persawahan","Tanah Kebun")),"Tanah Pekarangan")</f>
        <v>Tanah Kebun</v>
      </c>
      <c r="O42" s="2" t="str">
        <f>IF(IFERROR(VLOOKUP(D42,'Sheet1 (3)'!$C:$G,5,FALSE),"")="K1","Pengukuran Terestris yang pemetaannya diikatkan ke peta foto","Identifikasi batas bidang tanah diatas peta foto/citra")</f>
        <v>Identifikasi batas bidang tanah diatas peta foto/citra</v>
      </c>
      <c r="P42" s="2">
        <v>0.4</v>
      </c>
      <c r="Q42" s="2"/>
    </row>
    <row r="43" spans="1:17" x14ac:dyDescent="0.25">
      <c r="A43" s="5">
        <v>42</v>
      </c>
      <c r="B43" s="5">
        <v>43</v>
      </c>
      <c r="C43" s="2">
        <v>138</v>
      </c>
      <c r="D43" s="3" t="s">
        <v>161</v>
      </c>
      <c r="E43" s="2" t="str">
        <f>IFERROR(IF(OR(VLOOKUP(D43,'Sheet1 (3)'!$C:$F,4,FALSE)="RMH",VLOOKUP(D43,'Sheet1 (3)'!$C:$F,4,FALSE)="PKR",VLOOKUP(D43,'Sheet1 (3)'!$C:$F,4,FALSE)=""),"Non Pertanian","Pertanian"),"Non Pertanian")</f>
        <v>Pertanian</v>
      </c>
      <c r="F43" s="2" t="s">
        <v>18</v>
      </c>
      <c r="G43" s="2" t="str">
        <f>IFERROR("Sesuai dengan petunjuk pemilik tanah : "&amp;VLOOKUP(D43,'Sheet1 (3)'!$C:$D,2,FALSE),"")</f>
        <v xml:space="preserve">Sesuai dengan petunjuk pemilik tanah : Irma Suryani, S.pd.i </v>
      </c>
      <c r="H43" s="2" t="s">
        <v>625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17</v>
      </c>
      <c r="N43" s="2" t="str">
        <f>IFERROR(IF(VLOOKUP(D43,'Sheet1 (3)'!$C:$F,4,FALSE)="","Tanah Perkampungan",CHOOSE(MATCH(VLOOKUP(D43,'Sheet1 (3)'!$C:$F,4,FALSE),{"PKR","RMH","SWH","KBN"},0),"Tanah Perkampungan","Permukiman","Tanah Persawahan","Tanah Kebun")),"Tanah Pekarangan")</f>
        <v>Tanah Kebun</v>
      </c>
      <c r="O43" s="2" t="str">
        <f>IF(IFERROR(VLOOKUP(D43,'Sheet1 (3)'!$C:$G,5,FALSE),"")="K1","Pengukuran Terestris yang pemetaannya diikatkan ke peta foto","Identifikasi batas bidang tanah diatas peta foto/citra")</f>
        <v>Pengukuran Terestris yang pemetaannya diikatkan ke peta foto</v>
      </c>
      <c r="P43" s="2">
        <v>0.4</v>
      </c>
      <c r="Q43" s="2"/>
    </row>
    <row r="44" spans="1:17" x14ac:dyDescent="0.25">
      <c r="A44" s="5">
        <v>43</v>
      </c>
      <c r="B44" s="5">
        <v>44</v>
      </c>
      <c r="C44" s="2">
        <v>138</v>
      </c>
      <c r="D44" s="3" t="s">
        <v>37</v>
      </c>
      <c r="E44" s="2" t="str">
        <f>IFERROR(IF(OR(VLOOKUP(D44,'Sheet1 (3)'!$C:$F,4,FALSE)="RMH",VLOOKUP(D44,'Sheet1 (3)'!$C:$F,4,FALSE)="PKR",VLOOKUP(D44,'Sheet1 (3)'!$C:$F,4,FALSE)=""),"Non Pertanian","Pertanian"),"Non Pertanian")</f>
        <v>Pertanian</v>
      </c>
      <c r="F44" s="2" t="s">
        <v>18</v>
      </c>
      <c r="G44" s="2" t="str">
        <f>IFERROR("Sesuai dengan petunjuk pemilik tanah : "&amp;VLOOKUP(D44,'Sheet1 (3)'!$C:$D,2,FALSE),"")</f>
        <v xml:space="preserve">Sesuai dengan petunjuk pemilik tanah : Erlian </v>
      </c>
      <c r="H44" s="2" t="s">
        <v>625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17</v>
      </c>
      <c r="N44" s="2" t="str">
        <f>IFERROR(IF(VLOOKUP(D44,'Sheet1 (3)'!$C:$F,4,FALSE)="","Tanah Perkampungan",CHOOSE(MATCH(VLOOKUP(D44,'Sheet1 (3)'!$C:$F,4,FALSE),{"PKR","RMH","SWH","KBN"},0),"Tanah Perkampungan","Permukiman","Tanah Persawahan","Tanah Kebun")),"Tanah Pekarangan")</f>
        <v>Tanah Kebun</v>
      </c>
      <c r="O44" s="2" t="str">
        <f>IF(IFERROR(VLOOKUP(D44,'Sheet1 (3)'!$C:$G,5,FALSE),"")="K1","Pengukuran Terestris yang pemetaannya diikatkan ke peta foto","Identifikasi batas bidang tanah diatas peta foto/citra")</f>
        <v>Identifikasi batas bidang tanah diatas peta foto/citra</v>
      </c>
      <c r="P44" s="2">
        <v>0.4</v>
      </c>
      <c r="Q44" s="2"/>
    </row>
    <row r="45" spans="1:17" x14ac:dyDescent="0.25">
      <c r="A45" s="5">
        <v>44</v>
      </c>
      <c r="B45" s="5">
        <v>45</v>
      </c>
      <c r="C45" s="2">
        <v>138</v>
      </c>
      <c r="D45" s="3" t="s">
        <v>127</v>
      </c>
      <c r="E45" s="2" t="str">
        <f>IFERROR(IF(OR(VLOOKUP(D45,'Sheet1 (3)'!$C:$F,4,FALSE)="RMH",VLOOKUP(D45,'Sheet1 (3)'!$C:$F,4,FALSE)="PKR",VLOOKUP(D45,'Sheet1 (3)'!$C:$F,4,FALSE)=""),"Non Pertanian","Pertanian"),"Non Pertanian")</f>
        <v>Pertanian</v>
      </c>
      <c r="F45" s="2" t="s">
        <v>18</v>
      </c>
      <c r="G45" s="2" t="str">
        <f>IFERROR("Sesuai dengan petunjuk pemilik tanah : "&amp;VLOOKUP(D45,'Sheet1 (3)'!$C:$D,2,FALSE),"")</f>
        <v>Sesuai dengan petunjuk pemilik tanah : Ependi</v>
      </c>
      <c r="H45" s="2" t="s">
        <v>625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17</v>
      </c>
      <c r="N45" s="2" t="str">
        <f>IFERROR(IF(VLOOKUP(D45,'Sheet1 (3)'!$C:$F,4,FALSE)="","Tanah Perkampungan",CHOOSE(MATCH(VLOOKUP(D45,'Sheet1 (3)'!$C:$F,4,FALSE),{"PKR","RMH","SWH","KBN"},0),"Tanah Perkampungan","Permukiman","Tanah Persawahan","Tanah Kebun")),"Tanah Pekarangan")</f>
        <v>Tanah Kebun</v>
      </c>
      <c r="O45" s="2" t="str">
        <f>IF(IFERROR(VLOOKUP(D45,'Sheet1 (3)'!$C:$G,5,FALSE),"")="K1","Pengukuran Terestris yang pemetaannya diikatkan ke peta foto","Identifikasi batas bidang tanah diatas peta foto/citra")</f>
        <v>Identifikasi batas bidang tanah diatas peta foto/citra</v>
      </c>
      <c r="P45" s="2">
        <v>0.4</v>
      </c>
      <c r="Q45" s="2"/>
    </row>
    <row r="46" spans="1:17" x14ac:dyDescent="0.25">
      <c r="A46" s="5">
        <v>45</v>
      </c>
      <c r="B46" s="5">
        <v>46</v>
      </c>
      <c r="C46" s="2">
        <v>138</v>
      </c>
      <c r="D46" s="3" t="s">
        <v>166</v>
      </c>
      <c r="E46" s="2" t="str">
        <f>IFERROR(IF(OR(VLOOKUP(D46,'Sheet1 (3)'!$C:$F,4,FALSE)="RMH",VLOOKUP(D46,'Sheet1 (3)'!$C:$F,4,FALSE)="PKR",VLOOKUP(D46,'Sheet1 (3)'!$C:$F,4,FALSE)=""),"Non Pertanian","Pertanian"),"Non Pertanian")</f>
        <v>Pertanian</v>
      </c>
      <c r="F46" s="2" t="s">
        <v>18</v>
      </c>
      <c r="G46" s="2" t="str">
        <f>IFERROR("Sesuai dengan petunjuk pemilik tanah : "&amp;VLOOKUP(D46,'Sheet1 (3)'!$C:$D,2,FALSE),"")</f>
        <v>Sesuai dengan petunjuk pemilik tanah : H.hajar</v>
      </c>
      <c r="H46" s="2" t="s">
        <v>625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17</v>
      </c>
      <c r="N46" s="2" t="str">
        <f>IFERROR(IF(VLOOKUP(D46,'Sheet1 (3)'!$C:$F,4,FALSE)="","Tanah Perkampungan",CHOOSE(MATCH(VLOOKUP(D46,'Sheet1 (3)'!$C:$F,4,FALSE),{"PKR","RMH","SWH","KBN"},0),"Tanah Perkampungan","Permukiman","Tanah Persawahan","Tanah Kebun")),"Tanah Pekarangan")</f>
        <v>Tanah Kebun</v>
      </c>
      <c r="O46" s="2" t="str">
        <f>IF(IFERROR(VLOOKUP(D46,'Sheet1 (3)'!$C:$G,5,FALSE),"")="K1","Pengukuran Terestris yang pemetaannya diikatkan ke peta foto","Identifikasi batas bidang tanah diatas peta foto/citra")</f>
        <v>Identifikasi batas bidang tanah diatas peta foto/citra</v>
      </c>
      <c r="P46" s="2">
        <v>0.4</v>
      </c>
      <c r="Q46" s="2"/>
    </row>
    <row r="47" spans="1:17" x14ac:dyDescent="0.25">
      <c r="A47" s="5">
        <v>46</v>
      </c>
      <c r="B47" s="5">
        <v>47</v>
      </c>
      <c r="C47" s="2">
        <v>138</v>
      </c>
      <c r="D47" s="3" t="s">
        <v>155</v>
      </c>
      <c r="E47" s="2" t="str">
        <f>IFERROR(IF(OR(VLOOKUP(D47,'Sheet1 (3)'!$C:$F,4,FALSE)="RMH",VLOOKUP(D47,'Sheet1 (3)'!$C:$F,4,FALSE)="PKR",VLOOKUP(D47,'Sheet1 (3)'!$C:$F,4,FALSE)=""),"Non Pertanian","Pertanian"),"Non Pertanian")</f>
        <v>Pertanian</v>
      </c>
      <c r="F47" s="2" t="s">
        <v>18</v>
      </c>
      <c r="G47" s="2" t="str">
        <f>IFERROR("Sesuai dengan petunjuk pemilik tanah : "&amp;VLOOKUP(D47,'Sheet1 (3)'!$C:$D,2,FALSE),"")</f>
        <v>Sesuai dengan petunjuk pemilik tanah : Orang Sekuduk</v>
      </c>
      <c r="H47" s="2" t="s">
        <v>625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17</v>
      </c>
      <c r="N47" s="2" t="str">
        <f>IFERROR(IF(VLOOKUP(D47,'Sheet1 (3)'!$C:$F,4,FALSE)="","Tanah Perkampungan",CHOOSE(MATCH(VLOOKUP(D47,'Sheet1 (3)'!$C:$F,4,FALSE),{"PKR","RMH","SWH","KBN"},0),"Tanah Perkampungan","Permukiman","Tanah Persawahan","Tanah Kebun")),"Tanah Pekarangan")</f>
        <v>Tanah Kebun</v>
      </c>
      <c r="O47" s="2" t="str">
        <f>IF(IFERROR(VLOOKUP(D47,'Sheet1 (3)'!$C:$G,5,FALSE),"")="K1","Pengukuran Terestris yang pemetaannya diikatkan ke peta foto","Identifikasi batas bidang tanah diatas peta foto/citra")</f>
        <v>Identifikasi batas bidang tanah diatas peta foto/citra</v>
      </c>
      <c r="P47" s="2">
        <v>0.4</v>
      </c>
      <c r="Q47" s="2"/>
    </row>
    <row r="48" spans="1:17" x14ac:dyDescent="0.25">
      <c r="A48" s="5">
        <v>47</v>
      </c>
      <c r="B48" s="5">
        <v>48</v>
      </c>
      <c r="C48" s="2">
        <v>138</v>
      </c>
      <c r="D48" s="3" t="s">
        <v>179</v>
      </c>
      <c r="E48" s="2" t="str">
        <f>IFERROR(IF(OR(VLOOKUP(D48,'Sheet1 (3)'!$C:$F,4,FALSE)="RMH",VLOOKUP(D48,'Sheet1 (3)'!$C:$F,4,FALSE)="PKR",VLOOKUP(D48,'Sheet1 (3)'!$C:$F,4,FALSE)=""),"Non Pertanian","Pertanian"),"Non Pertanian")</f>
        <v>Pertanian</v>
      </c>
      <c r="F48" s="2" t="s">
        <v>18</v>
      </c>
      <c r="G48" s="2" t="str">
        <f>IFERROR("Sesuai dengan petunjuk pemilik tanah : "&amp;VLOOKUP(D48,'Sheet1 (3)'!$C:$D,2,FALSE),"")</f>
        <v>Sesuai dengan petunjuk pemilik tanah : Fahrurrozi</v>
      </c>
      <c r="H48" s="2" t="s">
        <v>625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17</v>
      </c>
      <c r="N48" s="2" t="str">
        <f>IFERROR(IF(VLOOKUP(D48,'Sheet1 (3)'!$C:$F,4,FALSE)="","Tanah Perkampungan",CHOOSE(MATCH(VLOOKUP(D48,'Sheet1 (3)'!$C:$F,4,FALSE),{"PKR","RMH","SWH","KBN"},0),"Tanah Perkampungan","Permukiman","Tanah Persawahan","Tanah Kebun")),"Tanah Pekarangan")</f>
        <v>Tanah Kebun</v>
      </c>
      <c r="O48" s="2" t="str">
        <f>IF(IFERROR(VLOOKUP(D48,'Sheet1 (3)'!$C:$G,5,FALSE),"")="K1","Pengukuran Terestris yang pemetaannya diikatkan ke peta foto","Identifikasi batas bidang tanah diatas peta foto/citra")</f>
        <v>Pengukuran Terestris yang pemetaannya diikatkan ke peta foto</v>
      </c>
      <c r="P48" s="2">
        <v>0.4</v>
      </c>
      <c r="Q48" s="2"/>
    </row>
    <row r="49" spans="1:17" x14ac:dyDescent="0.25">
      <c r="A49" s="5">
        <v>48</v>
      </c>
      <c r="B49" s="5">
        <v>49</v>
      </c>
      <c r="C49" s="2">
        <v>138</v>
      </c>
      <c r="D49" s="3" t="s">
        <v>121</v>
      </c>
      <c r="E49" s="2" t="str">
        <f>IFERROR(IF(OR(VLOOKUP(D49,'Sheet1 (3)'!$C:$F,4,FALSE)="RMH",VLOOKUP(D49,'Sheet1 (3)'!$C:$F,4,FALSE)="PKR",VLOOKUP(D49,'Sheet1 (3)'!$C:$F,4,FALSE)=""),"Non Pertanian","Pertanian"),"Non Pertanian")</f>
        <v>Pertanian</v>
      </c>
      <c r="F49" s="2" t="s">
        <v>18</v>
      </c>
      <c r="G49" s="2" t="str">
        <f>IFERROR("Sesuai dengan petunjuk pemilik tanah : "&amp;VLOOKUP(D49,'Sheet1 (3)'!$C:$D,2,FALSE),"")</f>
        <v>Sesuai dengan petunjuk pemilik tanah : Rusida</v>
      </c>
      <c r="H49" s="2" t="s">
        <v>625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17</v>
      </c>
      <c r="N49" s="2" t="str">
        <f>IFERROR(IF(VLOOKUP(D49,'Sheet1 (3)'!$C:$F,4,FALSE)="","Tanah Perkampungan",CHOOSE(MATCH(VLOOKUP(D49,'Sheet1 (3)'!$C:$F,4,FALSE),{"PKR","RMH","SWH","KBN"},0),"Tanah Perkampungan","Permukiman","Tanah Persawahan","Tanah Kebun")),"Tanah Pekarangan")</f>
        <v>Tanah Kebun</v>
      </c>
      <c r="O49" s="2" t="str">
        <f>IF(IFERROR(VLOOKUP(D49,'Sheet1 (3)'!$C:$G,5,FALSE),"")="K1","Pengukuran Terestris yang pemetaannya diikatkan ke peta foto","Identifikasi batas bidang tanah diatas peta foto/citra")</f>
        <v>Identifikasi batas bidang tanah diatas peta foto/citra</v>
      </c>
      <c r="P49" s="2">
        <v>0.4</v>
      </c>
      <c r="Q49" s="2"/>
    </row>
    <row r="50" spans="1:17" x14ac:dyDescent="0.25">
      <c r="A50" s="5">
        <v>49</v>
      </c>
      <c r="B50" s="5">
        <v>50</v>
      </c>
      <c r="C50" s="2">
        <v>138</v>
      </c>
      <c r="D50" s="3" t="s">
        <v>130</v>
      </c>
      <c r="E50" s="2" t="str">
        <f>IFERROR(IF(OR(VLOOKUP(D50,'Sheet1 (3)'!$C:$F,4,FALSE)="RMH",VLOOKUP(D50,'Sheet1 (3)'!$C:$F,4,FALSE)="PKR",VLOOKUP(D50,'Sheet1 (3)'!$C:$F,4,FALSE)=""),"Non Pertanian","Pertanian"),"Non Pertanian")</f>
        <v>Pertanian</v>
      </c>
      <c r="F50" s="2" t="s">
        <v>18</v>
      </c>
      <c r="G50" s="2" t="str">
        <f>IFERROR("Sesuai dengan petunjuk pemilik tanah : "&amp;VLOOKUP(D50,'Sheet1 (3)'!$C:$D,2,FALSE),"")</f>
        <v>Sesuai dengan petunjuk pemilik tanah : Hairun</v>
      </c>
      <c r="H50" s="2" t="s">
        <v>625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17</v>
      </c>
      <c r="N50" s="2" t="str">
        <f>IFERROR(IF(VLOOKUP(D50,'Sheet1 (3)'!$C:$F,4,FALSE)="","Tanah Perkampungan",CHOOSE(MATCH(VLOOKUP(D50,'Sheet1 (3)'!$C:$F,4,FALSE),{"PKR","RMH","SWH","KBN"},0),"Tanah Perkampungan","Permukiman","Tanah Persawahan","Tanah Kebun")),"Tanah Pekarangan")</f>
        <v>Tanah Kebun</v>
      </c>
      <c r="O50" s="2" t="str">
        <f>IF(IFERROR(VLOOKUP(D50,'Sheet1 (3)'!$C:$G,5,FALSE),"")="K1","Pengukuran Terestris yang pemetaannya diikatkan ke peta foto","Identifikasi batas bidang tanah diatas peta foto/citra")</f>
        <v>Identifikasi batas bidang tanah diatas peta foto/citra</v>
      </c>
      <c r="P50" s="2">
        <v>0.4</v>
      </c>
      <c r="Q50" s="2"/>
    </row>
    <row r="51" spans="1:17" x14ac:dyDescent="0.25">
      <c r="A51" s="5">
        <v>50</v>
      </c>
      <c r="B51" s="5">
        <v>51</v>
      </c>
      <c r="C51" s="2">
        <v>138</v>
      </c>
      <c r="D51" s="3" t="s">
        <v>191</v>
      </c>
      <c r="E51" s="2" t="str">
        <f>IFERROR(IF(OR(VLOOKUP(D51,'Sheet1 (3)'!$C:$F,4,FALSE)="RMH",VLOOKUP(D51,'Sheet1 (3)'!$C:$F,4,FALSE)="PKR",VLOOKUP(D51,'Sheet1 (3)'!$C:$F,4,FALSE)=""),"Non Pertanian","Pertanian"),"Non Pertanian")</f>
        <v>Pertanian</v>
      </c>
      <c r="F51" s="2" t="s">
        <v>18</v>
      </c>
      <c r="G51" s="2" t="str">
        <f>IFERROR("Sesuai dengan petunjuk pemilik tanah : "&amp;VLOOKUP(D51,'Sheet1 (3)'!$C:$D,2,FALSE),"")</f>
        <v>Sesuai dengan petunjuk pemilik tanah : Iman</v>
      </c>
      <c r="H51" s="2" t="s">
        <v>625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17</v>
      </c>
      <c r="N51" s="2" t="str">
        <f>IFERROR(IF(VLOOKUP(D51,'Sheet1 (3)'!$C:$F,4,FALSE)="","Tanah Perkampungan",CHOOSE(MATCH(VLOOKUP(D51,'Sheet1 (3)'!$C:$F,4,FALSE),{"PKR","RMH","SWH","KBN"},0),"Tanah Perkampungan","Permukiman","Tanah Persawahan","Tanah Kebun")),"Tanah Pekarangan")</f>
        <v>Tanah Kebun</v>
      </c>
      <c r="O51" s="2" t="str">
        <f>IF(IFERROR(VLOOKUP(D51,'Sheet1 (3)'!$C:$G,5,FALSE),"")="K1","Pengukuran Terestris yang pemetaannya diikatkan ke peta foto","Identifikasi batas bidang tanah diatas peta foto/citra")</f>
        <v>Identifikasi batas bidang tanah diatas peta foto/citra</v>
      </c>
      <c r="P51" s="2">
        <v>0.4</v>
      </c>
      <c r="Q51" s="2"/>
    </row>
    <row r="52" spans="1:17" x14ac:dyDescent="0.25">
      <c r="A52" s="5">
        <v>51</v>
      </c>
      <c r="B52" s="5">
        <v>52</v>
      </c>
      <c r="C52" s="2">
        <v>138</v>
      </c>
      <c r="D52" s="3" t="s">
        <v>193</v>
      </c>
      <c r="E52" s="2" t="str">
        <f>IFERROR(IF(OR(VLOOKUP(D52,'Sheet1 (3)'!$C:$F,4,FALSE)="RMH",VLOOKUP(D52,'Sheet1 (3)'!$C:$F,4,FALSE)="PKR",VLOOKUP(D52,'Sheet1 (3)'!$C:$F,4,FALSE)=""),"Non Pertanian","Pertanian"),"Non Pertanian")</f>
        <v>Pertanian</v>
      </c>
      <c r="F52" s="2" t="s">
        <v>18</v>
      </c>
      <c r="G52" s="2" t="str">
        <f>IFERROR("Sesuai dengan petunjuk pemilik tanah : "&amp;VLOOKUP(D52,'Sheet1 (3)'!$C:$D,2,FALSE),"")</f>
        <v xml:space="preserve">Sesuai dengan petunjuk pemilik tanah : Jamhur </v>
      </c>
      <c r="H52" s="2" t="s">
        <v>625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17</v>
      </c>
      <c r="N52" s="2" t="str">
        <f>IFERROR(IF(VLOOKUP(D52,'Sheet1 (3)'!$C:$F,4,FALSE)="","Tanah Perkampungan",CHOOSE(MATCH(VLOOKUP(D52,'Sheet1 (3)'!$C:$F,4,FALSE),{"PKR","RMH","SWH","KBN"},0),"Tanah Perkampungan","Permukiman","Tanah Persawahan","Tanah Kebun")),"Tanah Pekarangan")</f>
        <v>Tanah Kebun</v>
      </c>
      <c r="O52" s="2" t="str">
        <f>IF(IFERROR(VLOOKUP(D52,'Sheet1 (3)'!$C:$G,5,FALSE),"")="K1","Pengukuran Terestris yang pemetaannya diikatkan ke peta foto","Identifikasi batas bidang tanah diatas peta foto/citra")</f>
        <v>Pengukuran Terestris yang pemetaannya diikatkan ke peta foto</v>
      </c>
      <c r="P52" s="2">
        <v>0.4</v>
      </c>
      <c r="Q52" s="2"/>
    </row>
    <row r="53" spans="1:17" x14ac:dyDescent="0.25">
      <c r="A53" s="5">
        <v>52</v>
      </c>
      <c r="B53" s="5">
        <v>53</v>
      </c>
      <c r="C53" s="2">
        <v>138</v>
      </c>
      <c r="D53" s="3" t="s">
        <v>68</v>
      </c>
      <c r="E53" s="2" t="str">
        <f>IFERROR(IF(OR(VLOOKUP(D53,'Sheet1 (3)'!$C:$F,4,FALSE)="RMH",VLOOKUP(D53,'Sheet1 (3)'!$C:$F,4,FALSE)="PKR",VLOOKUP(D53,'Sheet1 (3)'!$C:$F,4,FALSE)=""),"Non Pertanian","Pertanian"),"Non Pertanian")</f>
        <v>Pertanian</v>
      </c>
      <c r="F53" s="2" t="s">
        <v>18</v>
      </c>
      <c r="G53" s="2" t="str">
        <f>IFERROR("Sesuai dengan petunjuk pemilik tanah : "&amp;VLOOKUP(D53,'Sheet1 (3)'!$C:$D,2,FALSE),"")</f>
        <v>Sesuai dengan petunjuk pemilik tanah : Aswad</v>
      </c>
      <c r="H53" s="2" t="s">
        <v>625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17</v>
      </c>
      <c r="N53" s="2" t="str">
        <f>IFERROR(IF(VLOOKUP(D53,'Sheet1 (3)'!$C:$F,4,FALSE)="","Tanah Perkampungan",CHOOSE(MATCH(VLOOKUP(D53,'Sheet1 (3)'!$C:$F,4,FALSE),{"PKR","RMH","SWH","KBN"},0),"Tanah Perkampungan","Permukiman","Tanah Persawahan","Tanah Kebun")),"Tanah Pekarangan")</f>
        <v>Tanah Kebun</v>
      </c>
      <c r="O53" s="2" t="str">
        <f>IF(IFERROR(VLOOKUP(D53,'Sheet1 (3)'!$C:$G,5,FALSE),"")="K1","Pengukuran Terestris yang pemetaannya diikatkan ke peta foto","Identifikasi batas bidang tanah diatas peta foto/citra")</f>
        <v>Identifikasi batas bidang tanah diatas peta foto/citra</v>
      </c>
      <c r="P53" s="2">
        <v>0.4</v>
      </c>
      <c r="Q53" s="2"/>
    </row>
    <row r="54" spans="1:17" x14ac:dyDescent="0.25">
      <c r="A54" s="5">
        <v>53</v>
      </c>
      <c r="B54" s="5">
        <v>54</v>
      </c>
      <c r="C54" s="2">
        <v>138</v>
      </c>
      <c r="D54" s="3" t="s">
        <v>159</v>
      </c>
      <c r="E54" s="2" t="str">
        <f>IFERROR(IF(OR(VLOOKUP(D54,'Sheet1 (3)'!$C:$F,4,FALSE)="RMH",VLOOKUP(D54,'Sheet1 (3)'!$C:$F,4,FALSE)="PKR",VLOOKUP(D54,'Sheet1 (3)'!$C:$F,4,FALSE)=""),"Non Pertanian","Pertanian"),"Non Pertanian")</f>
        <v>Pertanian</v>
      </c>
      <c r="F54" s="2" t="s">
        <v>18</v>
      </c>
      <c r="G54" s="2" t="str">
        <f>IFERROR("Sesuai dengan petunjuk pemilik tanah : "&amp;VLOOKUP(D54,'Sheet1 (3)'!$C:$D,2,FALSE),"")</f>
        <v>Sesuai dengan petunjuk pemilik tanah : Hanimal</v>
      </c>
      <c r="H54" s="2" t="s">
        <v>625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17</v>
      </c>
      <c r="N54" s="2" t="str">
        <f>IFERROR(IF(VLOOKUP(D54,'Sheet1 (3)'!$C:$F,4,FALSE)="","Tanah Perkampungan",CHOOSE(MATCH(VLOOKUP(D54,'Sheet1 (3)'!$C:$F,4,FALSE),{"PKR","RMH","SWH","KBN"},0),"Tanah Perkampungan","Permukiman","Tanah Persawahan","Tanah Kebun")),"Tanah Pekarangan")</f>
        <v>Tanah Kebun</v>
      </c>
      <c r="O54" s="2" t="str">
        <f>IF(IFERROR(VLOOKUP(D54,'Sheet1 (3)'!$C:$G,5,FALSE),"")="K1","Pengukuran Terestris yang pemetaannya diikatkan ke peta foto","Identifikasi batas bidang tanah diatas peta foto/citra")</f>
        <v>Identifikasi batas bidang tanah diatas peta foto/citra</v>
      </c>
      <c r="P54" s="2">
        <v>0.4</v>
      </c>
      <c r="Q54" s="2"/>
    </row>
    <row r="55" spans="1:17" x14ac:dyDescent="0.25">
      <c r="A55" s="5">
        <v>54</v>
      </c>
      <c r="B55" s="5">
        <v>55</v>
      </c>
      <c r="C55" s="2">
        <v>138</v>
      </c>
      <c r="D55" s="3" t="s">
        <v>195</v>
      </c>
      <c r="E55" s="2" t="str">
        <f>IFERROR(IF(OR(VLOOKUP(D55,'Sheet1 (3)'!$C:$F,4,FALSE)="RMH",VLOOKUP(D55,'Sheet1 (3)'!$C:$F,4,FALSE)="PKR",VLOOKUP(D55,'Sheet1 (3)'!$C:$F,4,FALSE)=""),"Non Pertanian","Pertanian"),"Non Pertanian")</f>
        <v>Pertanian</v>
      </c>
      <c r="F55" s="2" t="s">
        <v>18</v>
      </c>
      <c r="G55" s="2" t="str">
        <f>IFERROR("Sesuai dengan petunjuk pemilik tanah : "&amp;VLOOKUP(D55,'Sheet1 (3)'!$C:$D,2,FALSE),"")</f>
        <v>Sesuai dengan petunjuk pemilik tanah : Budi</v>
      </c>
      <c r="H55" s="2" t="s">
        <v>625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17</v>
      </c>
      <c r="N55" s="2" t="str">
        <f>IFERROR(IF(VLOOKUP(D55,'Sheet1 (3)'!$C:$F,4,FALSE)="","Tanah Perkampungan",CHOOSE(MATCH(VLOOKUP(D55,'Sheet1 (3)'!$C:$F,4,FALSE),{"PKR","RMH","SWH","KBN"},0),"Tanah Perkampungan","Permukiman","Tanah Persawahan","Tanah Kebun")),"Tanah Pekarangan")</f>
        <v>Tanah Kebun</v>
      </c>
      <c r="O55" s="2" t="str">
        <f>IF(IFERROR(VLOOKUP(D55,'Sheet1 (3)'!$C:$G,5,FALSE),"")="K1","Pengukuran Terestris yang pemetaannya diikatkan ke peta foto","Identifikasi batas bidang tanah diatas peta foto/citra")</f>
        <v>Identifikasi batas bidang tanah diatas peta foto/citra</v>
      </c>
      <c r="P55" s="2">
        <v>0.4</v>
      </c>
      <c r="Q55" s="2"/>
    </row>
    <row r="56" spans="1:17" x14ac:dyDescent="0.25">
      <c r="A56" s="5">
        <v>55</v>
      </c>
      <c r="B56" s="5">
        <v>56</v>
      </c>
      <c r="C56" s="2">
        <v>138</v>
      </c>
      <c r="D56" s="3" t="s">
        <v>199</v>
      </c>
      <c r="E56" s="2" t="str">
        <f>IFERROR(IF(OR(VLOOKUP(D56,'Sheet1 (3)'!$C:$F,4,FALSE)="RMH",VLOOKUP(D56,'Sheet1 (3)'!$C:$F,4,FALSE)="PKR",VLOOKUP(D56,'Sheet1 (3)'!$C:$F,4,FALSE)=""),"Non Pertanian","Pertanian"),"Non Pertanian")</f>
        <v>Pertanian</v>
      </c>
      <c r="F56" s="2" t="s">
        <v>18</v>
      </c>
      <c r="G56" s="2" t="str">
        <f>IFERROR("Sesuai dengan petunjuk pemilik tanah : "&amp;VLOOKUP(D56,'Sheet1 (3)'!$C:$D,2,FALSE),"")</f>
        <v>Sesuai dengan petunjuk pemilik tanah : Jamaludin</v>
      </c>
      <c r="H56" s="2" t="s">
        <v>625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17</v>
      </c>
      <c r="N56" s="2" t="str">
        <f>IFERROR(IF(VLOOKUP(D56,'Sheet1 (3)'!$C:$F,4,FALSE)="","Tanah Perkampungan",CHOOSE(MATCH(VLOOKUP(D56,'Sheet1 (3)'!$C:$F,4,FALSE),{"PKR","RMH","SWH","KBN"},0),"Tanah Perkampungan","Permukiman","Tanah Persawahan","Tanah Kebun")),"Tanah Pekarangan")</f>
        <v>Tanah Kebun</v>
      </c>
      <c r="O56" s="2" t="str">
        <f>IF(IFERROR(VLOOKUP(D56,'Sheet1 (3)'!$C:$G,5,FALSE),"")="K1","Pengukuran Terestris yang pemetaannya diikatkan ke peta foto","Identifikasi batas bidang tanah diatas peta foto/citra")</f>
        <v>Pengukuran Terestris yang pemetaannya diikatkan ke peta foto</v>
      </c>
      <c r="P56" s="2">
        <v>0.4</v>
      </c>
      <c r="Q56" s="2"/>
    </row>
    <row r="57" spans="1:17" x14ac:dyDescent="0.25">
      <c r="A57" s="5">
        <v>56</v>
      </c>
      <c r="B57" s="5">
        <v>57</v>
      </c>
      <c r="C57" s="2">
        <v>138</v>
      </c>
      <c r="D57" s="3" t="s">
        <v>110</v>
      </c>
      <c r="E57" s="2" t="str">
        <f>IFERROR(IF(OR(VLOOKUP(D57,'Sheet1 (3)'!$C:$F,4,FALSE)="RMH",VLOOKUP(D57,'Sheet1 (3)'!$C:$F,4,FALSE)="PKR",VLOOKUP(D57,'Sheet1 (3)'!$C:$F,4,FALSE)=""),"Non Pertanian","Pertanian"),"Non Pertanian")</f>
        <v>Pertanian</v>
      </c>
      <c r="F57" s="2" t="s">
        <v>18</v>
      </c>
      <c r="G57" s="2" t="str">
        <f>IFERROR("Sesuai dengan petunjuk pemilik tanah : "&amp;VLOOKUP(D57,'Sheet1 (3)'!$C:$D,2,FALSE),"")</f>
        <v xml:space="preserve">Sesuai dengan petunjuk pemilik tanah : Syarifah </v>
      </c>
      <c r="H57" s="2" t="s">
        <v>625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17</v>
      </c>
      <c r="N57" s="2" t="str">
        <f>IFERROR(IF(VLOOKUP(D57,'Sheet1 (3)'!$C:$F,4,FALSE)="","Tanah Perkampungan",CHOOSE(MATCH(VLOOKUP(D57,'Sheet1 (3)'!$C:$F,4,FALSE),{"PKR","RMH","SWH","KBN"},0),"Tanah Perkampungan","Permukiman","Tanah Persawahan","Tanah Kebun")),"Tanah Pekarangan")</f>
        <v>Tanah Kebun</v>
      </c>
      <c r="O57" s="2" t="str">
        <f>IF(IFERROR(VLOOKUP(D57,'Sheet1 (3)'!$C:$G,5,FALSE),"")="K1","Pengukuran Terestris yang pemetaannya diikatkan ke peta foto","Identifikasi batas bidang tanah diatas peta foto/citra")</f>
        <v>Pengukuran Terestris yang pemetaannya diikatkan ke peta foto</v>
      </c>
      <c r="P57" s="2">
        <v>0.4</v>
      </c>
      <c r="Q57" s="2"/>
    </row>
    <row r="58" spans="1:17" x14ac:dyDescent="0.25">
      <c r="A58" s="5">
        <v>57</v>
      </c>
      <c r="B58" s="5">
        <v>58</v>
      </c>
      <c r="C58" s="2">
        <v>138</v>
      </c>
      <c r="D58" s="3" t="s">
        <v>113</v>
      </c>
      <c r="E58" s="2" t="str">
        <f>IFERROR(IF(OR(VLOOKUP(D58,'Sheet1 (3)'!$C:$F,4,FALSE)="RMH",VLOOKUP(D58,'Sheet1 (3)'!$C:$F,4,FALSE)="PKR",VLOOKUP(D58,'Sheet1 (3)'!$C:$F,4,FALSE)=""),"Non Pertanian","Pertanian"),"Non Pertanian")</f>
        <v>Pertanian</v>
      </c>
      <c r="F58" s="2" t="s">
        <v>18</v>
      </c>
      <c r="G58" s="2" t="str">
        <f>IFERROR("Sesuai dengan petunjuk pemilik tanah : "&amp;VLOOKUP(D58,'Sheet1 (3)'!$C:$D,2,FALSE),"")</f>
        <v>Sesuai dengan petunjuk pemilik tanah : Abdiah/lebek</v>
      </c>
      <c r="H58" s="2" t="s">
        <v>625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17</v>
      </c>
      <c r="N58" s="2" t="str">
        <f>IFERROR(IF(VLOOKUP(D58,'Sheet1 (3)'!$C:$F,4,FALSE)="","Tanah Perkampungan",CHOOSE(MATCH(VLOOKUP(D58,'Sheet1 (3)'!$C:$F,4,FALSE),{"PKR","RMH","SWH","KBN"},0),"Tanah Perkampungan","Permukiman","Tanah Persawahan","Tanah Kebun")),"Tanah Pekarangan")</f>
        <v>Tanah Kebun</v>
      </c>
      <c r="O58" s="2" t="str">
        <f>IF(IFERROR(VLOOKUP(D58,'Sheet1 (3)'!$C:$G,5,FALSE),"")="K1","Pengukuran Terestris yang pemetaannya diikatkan ke peta foto","Identifikasi batas bidang tanah diatas peta foto/citra")</f>
        <v>Identifikasi batas bidang tanah diatas peta foto/citra</v>
      </c>
      <c r="P58" s="2">
        <v>0.4</v>
      </c>
      <c r="Q58" s="2"/>
    </row>
    <row r="59" spans="1:17" x14ac:dyDescent="0.25">
      <c r="A59" s="5">
        <v>58</v>
      </c>
      <c r="B59" s="5">
        <v>59</v>
      </c>
      <c r="C59" s="2">
        <v>138</v>
      </c>
      <c r="D59" s="3" t="s">
        <v>170</v>
      </c>
      <c r="E59" s="2" t="str">
        <f>IFERROR(IF(OR(VLOOKUP(D59,'Sheet1 (3)'!$C:$F,4,FALSE)="RMH",VLOOKUP(D59,'Sheet1 (3)'!$C:$F,4,FALSE)="PKR",VLOOKUP(D59,'Sheet1 (3)'!$C:$F,4,FALSE)=""),"Non Pertanian","Pertanian"),"Non Pertanian")</f>
        <v>Pertanian</v>
      </c>
      <c r="F59" s="2" t="s">
        <v>18</v>
      </c>
      <c r="G59" s="2" t="str">
        <f>IFERROR("Sesuai dengan petunjuk pemilik tanah : "&amp;VLOOKUP(D59,'Sheet1 (3)'!$C:$D,2,FALSE),"")</f>
        <v>Sesuai dengan petunjuk pemilik tanah : Hajali</v>
      </c>
      <c r="H59" s="2" t="s">
        <v>625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17</v>
      </c>
      <c r="N59" s="2" t="str">
        <f>IFERROR(IF(VLOOKUP(D59,'Sheet1 (3)'!$C:$F,4,FALSE)="","Tanah Perkampungan",CHOOSE(MATCH(VLOOKUP(D59,'Sheet1 (3)'!$C:$F,4,FALSE),{"PKR","RMH","SWH","KBN"},0),"Tanah Perkampungan","Permukiman","Tanah Persawahan","Tanah Kebun")),"Tanah Pekarangan")</f>
        <v>Tanah Kebun</v>
      </c>
      <c r="O59" s="2" t="str">
        <f>IF(IFERROR(VLOOKUP(D59,'Sheet1 (3)'!$C:$G,5,FALSE),"")="K1","Pengukuran Terestris yang pemetaannya diikatkan ke peta foto","Identifikasi batas bidang tanah diatas peta foto/citra")</f>
        <v>Identifikasi batas bidang tanah diatas peta foto/citra</v>
      </c>
      <c r="P59" s="2">
        <v>0.4</v>
      </c>
      <c r="Q59" s="2"/>
    </row>
    <row r="60" spans="1:17" x14ac:dyDescent="0.25">
      <c r="A60" s="5">
        <v>59</v>
      </c>
      <c r="B60" s="5">
        <v>60</v>
      </c>
      <c r="C60" s="2">
        <v>138</v>
      </c>
      <c r="D60" s="3" t="s">
        <v>63</v>
      </c>
      <c r="E60" s="2" t="str">
        <f>IFERROR(IF(OR(VLOOKUP(D60,'Sheet1 (3)'!$C:$F,4,FALSE)="RMH",VLOOKUP(D60,'Sheet1 (3)'!$C:$F,4,FALSE)="PKR",VLOOKUP(D60,'Sheet1 (3)'!$C:$F,4,FALSE)=""),"Non Pertanian","Pertanian"),"Non Pertanian")</f>
        <v>Non Pertanian</v>
      </c>
      <c r="F60" s="2" t="s">
        <v>18</v>
      </c>
      <c r="G60" s="2" t="str">
        <f>IFERROR("Sesuai dengan petunjuk pemilik tanah : "&amp;VLOOKUP(D60,'Sheet1 (3)'!$C:$D,2,FALSE),"")</f>
        <v>Sesuai dengan petunjuk pemilik tanah : Jalan</v>
      </c>
      <c r="H60" s="2" t="s">
        <v>625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17</v>
      </c>
      <c r="N60" s="2" t="str">
        <f>IFERROR(IF(VLOOKUP(D60,'Sheet1 (3)'!$C:$F,4,FALSE)="","Tanah Perkampungan",CHOOSE(MATCH(VLOOKUP(D60,'Sheet1 (3)'!$C:$F,4,FALSE),{"PKR","RMH","SWH","KBN"},0),"Tanah Perkampungan","Permukiman","Tanah Persawahan","Tanah Kebun")),"Tanah Pekarangan")</f>
        <v>Tanah Perkampungan</v>
      </c>
      <c r="O60" s="2" t="str">
        <f>IF(IFERROR(VLOOKUP(D60,'Sheet1 (3)'!$C:$G,5,FALSE),"")="K1","Pengukuran Terestris yang pemetaannya diikatkan ke peta foto","Identifikasi batas bidang tanah diatas peta foto/citra")</f>
        <v>Identifikasi batas bidang tanah diatas peta foto/citra</v>
      </c>
      <c r="P60" s="2">
        <v>0.4</v>
      </c>
      <c r="Q60" s="2"/>
    </row>
    <row r="61" spans="1:17" x14ac:dyDescent="0.25">
      <c r="A61" s="5">
        <v>60</v>
      </c>
      <c r="B61" s="5">
        <v>61</v>
      </c>
      <c r="C61" s="2">
        <v>138</v>
      </c>
      <c r="D61" s="3" t="s">
        <v>217</v>
      </c>
      <c r="E61" s="2" t="str">
        <f>IFERROR(IF(OR(VLOOKUP(D61,'Sheet1 (3)'!$C:$F,4,FALSE)="RMH",VLOOKUP(D61,'Sheet1 (3)'!$C:$F,4,FALSE)="PKR",VLOOKUP(D61,'Sheet1 (3)'!$C:$F,4,FALSE)=""),"Non Pertanian","Pertanian"),"Non Pertanian")</f>
        <v>Non Pertanian</v>
      </c>
      <c r="F61" s="2" t="s">
        <v>18</v>
      </c>
      <c r="G61" s="2" t="str">
        <f>IFERROR("Sesuai dengan petunjuk pemilik tanah : "&amp;VLOOKUP(D61,'Sheet1 (3)'!$C:$D,2,FALSE),"")</f>
        <v>Sesuai dengan petunjuk pemilik tanah : Saluran Air</v>
      </c>
      <c r="H61" s="2" t="s">
        <v>625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17</v>
      </c>
      <c r="N61" s="2" t="str">
        <f>IFERROR(IF(VLOOKUP(D61,'Sheet1 (3)'!$C:$F,4,FALSE)="","Tanah Perkampungan",CHOOSE(MATCH(VLOOKUP(D61,'Sheet1 (3)'!$C:$F,4,FALSE),{"PKR","RMH","SWH","KBN"},0),"Tanah Perkampungan","Permukiman","Tanah Persawahan","Tanah Kebun")),"Tanah Pekarangan")</f>
        <v>Tanah Perkampungan</v>
      </c>
      <c r="O61" s="2" t="str">
        <f>IF(IFERROR(VLOOKUP(D61,'Sheet1 (3)'!$C:$G,5,FALSE),"")="K1","Pengukuran Terestris yang pemetaannya diikatkan ke peta foto","Identifikasi batas bidang tanah diatas peta foto/citra")</f>
        <v>Identifikasi batas bidang tanah diatas peta foto/citra</v>
      </c>
      <c r="P61" s="2">
        <v>0.4</v>
      </c>
      <c r="Q61" s="2"/>
    </row>
    <row r="62" spans="1:17" x14ac:dyDescent="0.25">
      <c r="A62" s="5">
        <v>61</v>
      </c>
      <c r="B62" s="5">
        <v>62</v>
      </c>
      <c r="C62" s="2">
        <v>138</v>
      </c>
      <c r="D62" s="3" t="s">
        <v>108</v>
      </c>
      <c r="E62" s="2" t="str">
        <f>IFERROR(IF(OR(VLOOKUP(D62,'Sheet1 (3)'!$C:$F,4,FALSE)="RMH",VLOOKUP(D62,'Sheet1 (3)'!$C:$F,4,FALSE)="PKR",VLOOKUP(D62,'Sheet1 (3)'!$C:$F,4,FALSE)=""),"Non Pertanian","Pertanian"),"Non Pertanian")</f>
        <v>Pertanian</v>
      </c>
      <c r="F62" s="2" t="s">
        <v>18</v>
      </c>
      <c r="G62" s="2" t="str">
        <f>IFERROR("Sesuai dengan petunjuk pemilik tanah : "&amp;VLOOKUP(D62,'Sheet1 (3)'!$C:$D,2,FALSE),"")</f>
        <v>Sesuai dengan petunjuk pemilik tanah : Hasman</v>
      </c>
      <c r="H62" s="2" t="s">
        <v>625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17</v>
      </c>
      <c r="N62" s="2" t="str">
        <f>IFERROR(IF(VLOOKUP(D62,'Sheet1 (3)'!$C:$F,4,FALSE)="","Tanah Perkampungan",CHOOSE(MATCH(VLOOKUP(D62,'Sheet1 (3)'!$C:$F,4,FALSE),{"PKR","RMH","SWH","KBN"},0),"Tanah Perkampungan","Permukiman","Tanah Persawahan","Tanah Kebun")),"Tanah Pekarangan")</f>
        <v>Tanah Kebun</v>
      </c>
      <c r="O62" s="2" t="str">
        <f>IF(IFERROR(VLOOKUP(D62,'Sheet1 (3)'!$C:$G,5,FALSE),"")="K1","Pengukuran Terestris yang pemetaannya diikatkan ke peta foto","Identifikasi batas bidang tanah diatas peta foto/citra")</f>
        <v>Identifikasi batas bidang tanah diatas peta foto/citra</v>
      </c>
      <c r="P62" s="2">
        <v>0.4</v>
      </c>
      <c r="Q62" s="2"/>
    </row>
    <row r="63" spans="1:17" x14ac:dyDescent="0.25">
      <c r="A63" s="5">
        <v>62</v>
      </c>
      <c r="B63" s="5">
        <v>63</v>
      </c>
      <c r="C63" s="2">
        <v>138</v>
      </c>
      <c r="D63" s="3" t="s">
        <v>225</v>
      </c>
      <c r="E63" s="2" t="str">
        <f>IFERROR(IF(OR(VLOOKUP(D63,'Sheet1 (3)'!$C:$F,4,FALSE)="RMH",VLOOKUP(D63,'Sheet1 (3)'!$C:$F,4,FALSE)="PKR",VLOOKUP(D63,'Sheet1 (3)'!$C:$F,4,FALSE)=""),"Non Pertanian","Pertanian"),"Non Pertanian")</f>
        <v>Pertanian</v>
      </c>
      <c r="F63" s="2" t="s">
        <v>18</v>
      </c>
      <c r="G63" s="2" t="str">
        <f>IFERROR("Sesuai dengan petunjuk pemilik tanah : "&amp;VLOOKUP(D63,'Sheet1 (3)'!$C:$D,2,FALSE),"")</f>
        <v>Sesuai dengan petunjuk pemilik tanah : Ikhwan</v>
      </c>
      <c r="H63" s="2" t="s">
        <v>625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17</v>
      </c>
      <c r="N63" s="2" t="str">
        <f>IFERROR(IF(VLOOKUP(D63,'Sheet1 (3)'!$C:$F,4,FALSE)="","Tanah Perkampungan",CHOOSE(MATCH(VLOOKUP(D63,'Sheet1 (3)'!$C:$F,4,FALSE),{"PKR","RMH","SWH","KBN"},0),"Tanah Perkampungan","Permukiman","Tanah Persawahan","Tanah Kebun")),"Tanah Pekarangan")</f>
        <v>Tanah Kebun</v>
      </c>
      <c r="O63" s="2" t="str">
        <f>IF(IFERROR(VLOOKUP(D63,'Sheet1 (3)'!$C:$G,5,FALSE),"")="K1","Pengukuran Terestris yang pemetaannya diikatkan ke peta foto","Identifikasi batas bidang tanah diatas peta foto/citra")</f>
        <v>Pengukuran Terestris yang pemetaannya diikatkan ke peta foto</v>
      </c>
      <c r="P63" s="2">
        <v>0.4</v>
      </c>
      <c r="Q63" s="2"/>
    </row>
    <row r="64" spans="1:17" x14ac:dyDescent="0.25">
      <c r="A64" s="5">
        <v>63</v>
      </c>
      <c r="B64" s="5">
        <v>64</v>
      </c>
      <c r="C64" s="2">
        <v>138</v>
      </c>
      <c r="D64" s="3" t="s">
        <v>151</v>
      </c>
      <c r="E64" s="2" t="str">
        <f>IFERROR(IF(OR(VLOOKUP(D64,'Sheet1 (3)'!$C:$F,4,FALSE)="RMH",VLOOKUP(D64,'Sheet1 (3)'!$C:$F,4,FALSE)="PKR",VLOOKUP(D64,'Sheet1 (3)'!$C:$F,4,FALSE)=""),"Non Pertanian","Pertanian"),"Non Pertanian")</f>
        <v>Pertanian</v>
      </c>
      <c r="F64" s="2" t="s">
        <v>18</v>
      </c>
      <c r="G64" s="2" t="str">
        <f>IFERROR("Sesuai dengan petunjuk pemilik tanah : "&amp;VLOOKUP(D64,'Sheet1 (3)'!$C:$D,2,FALSE),"")</f>
        <v>Sesuai dengan petunjuk pemilik tanah : Sapar</v>
      </c>
      <c r="H64" s="2" t="s">
        <v>625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17</v>
      </c>
      <c r="N64" s="2" t="str">
        <f>IFERROR(IF(VLOOKUP(D64,'Sheet1 (3)'!$C:$F,4,FALSE)="","Tanah Perkampungan",CHOOSE(MATCH(VLOOKUP(D64,'Sheet1 (3)'!$C:$F,4,FALSE),{"PKR","RMH","SWH","KBN"},0),"Tanah Perkampungan","Permukiman","Tanah Persawahan","Tanah Kebun")),"Tanah Pekarangan")</f>
        <v>Tanah Kebun</v>
      </c>
      <c r="O64" s="2" t="str">
        <f>IF(IFERROR(VLOOKUP(D64,'Sheet1 (3)'!$C:$G,5,FALSE),"")="K1","Pengukuran Terestris yang pemetaannya diikatkan ke peta foto","Identifikasi batas bidang tanah diatas peta foto/citra")</f>
        <v>Identifikasi batas bidang tanah diatas peta foto/citra</v>
      </c>
      <c r="P64" s="2">
        <v>0.4</v>
      </c>
      <c r="Q64" s="2"/>
    </row>
    <row r="65" spans="1:17" x14ac:dyDescent="0.25">
      <c r="A65" s="5">
        <v>64</v>
      </c>
      <c r="B65" s="5">
        <v>65</v>
      </c>
      <c r="C65" s="2">
        <v>138</v>
      </c>
      <c r="D65" s="3" t="s">
        <v>95</v>
      </c>
      <c r="E65" s="2" t="str">
        <f>IFERROR(IF(OR(VLOOKUP(D65,'Sheet1 (3)'!$C:$F,4,FALSE)="RMH",VLOOKUP(D65,'Sheet1 (3)'!$C:$F,4,FALSE)="PKR",VLOOKUP(D65,'Sheet1 (3)'!$C:$F,4,FALSE)=""),"Non Pertanian","Pertanian"),"Non Pertanian")</f>
        <v>Pertanian</v>
      </c>
      <c r="F65" s="2" t="s">
        <v>18</v>
      </c>
      <c r="G65" s="2" t="str">
        <f>IFERROR("Sesuai dengan petunjuk pemilik tanah : "&amp;VLOOKUP(D65,'Sheet1 (3)'!$C:$D,2,FALSE),"")</f>
        <v>Sesuai dengan petunjuk pemilik tanah : Wal'ah</v>
      </c>
      <c r="H65" s="2" t="s">
        <v>625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17</v>
      </c>
      <c r="N65" s="2" t="str">
        <f>IFERROR(IF(VLOOKUP(D65,'Sheet1 (3)'!$C:$F,4,FALSE)="","Tanah Perkampungan",CHOOSE(MATCH(VLOOKUP(D65,'Sheet1 (3)'!$C:$F,4,FALSE),{"PKR","RMH","SWH","KBN"},0),"Tanah Perkampungan","Permukiman","Tanah Persawahan","Tanah Kebun")),"Tanah Pekarangan")</f>
        <v>Tanah Kebun</v>
      </c>
      <c r="O65" s="2" t="str">
        <f>IF(IFERROR(VLOOKUP(D65,'Sheet1 (3)'!$C:$G,5,FALSE),"")="K1","Pengukuran Terestris yang pemetaannya diikatkan ke peta foto","Identifikasi batas bidang tanah diatas peta foto/citra")</f>
        <v>Identifikasi batas bidang tanah diatas peta foto/citra</v>
      </c>
      <c r="P65" s="2">
        <v>0.4</v>
      </c>
      <c r="Q65" s="2"/>
    </row>
    <row r="66" spans="1:17" x14ac:dyDescent="0.25">
      <c r="A66" s="5">
        <v>65</v>
      </c>
      <c r="B66" s="5">
        <v>66</v>
      </c>
      <c r="C66" s="2">
        <v>138</v>
      </c>
      <c r="D66" s="3" t="s">
        <v>181</v>
      </c>
      <c r="E66" s="2" t="str">
        <f>IFERROR(IF(OR(VLOOKUP(D66,'Sheet1 (3)'!$C:$F,4,FALSE)="RMH",VLOOKUP(D66,'Sheet1 (3)'!$C:$F,4,FALSE)="PKR",VLOOKUP(D66,'Sheet1 (3)'!$C:$F,4,FALSE)=""),"Non Pertanian","Pertanian"),"Non Pertanian")</f>
        <v>Pertanian</v>
      </c>
      <c r="F66" s="2" t="s">
        <v>18</v>
      </c>
      <c r="G66" s="2" t="str">
        <f>IFERROR("Sesuai dengan petunjuk pemilik tanah : "&amp;VLOOKUP(D66,'Sheet1 (3)'!$C:$D,2,FALSE),"")</f>
        <v>Sesuai dengan petunjuk pemilik tanah : Erlian</v>
      </c>
      <c r="H66" s="2" t="s">
        <v>625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17</v>
      </c>
      <c r="N66" s="2" t="str">
        <f>IFERROR(IF(VLOOKUP(D66,'Sheet1 (3)'!$C:$F,4,FALSE)="","Tanah Perkampungan",CHOOSE(MATCH(VLOOKUP(D66,'Sheet1 (3)'!$C:$F,4,FALSE),{"PKR","RMH","SWH","KBN"},0),"Tanah Perkampungan","Permukiman","Tanah Persawahan","Tanah Kebun")),"Tanah Pekarangan")</f>
        <v>Tanah Kebun</v>
      </c>
      <c r="O66" s="2" t="str">
        <f>IF(IFERROR(VLOOKUP(D66,'Sheet1 (3)'!$C:$G,5,FALSE),"")="K1","Pengukuran Terestris yang pemetaannya diikatkan ke peta foto","Identifikasi batas bidang tanah diatas peta foto/citra")</f>
        <v>Identifikasi batas bidang tanah diatas peta foto/citra</v>
      </c>
      <c r="P66" s="2">
        <v>0.4</v>
      </c>
      <c r="Q66" s="2"/>
    </row>
    <row r="67" spans="1:17" x14ac:dyDescent="0.25">
      <c r="A67" s="5">
        <v>66</v>
      </c>
      <c r="B67" s="5">
        <v>67</v>
      </c>
      <c r="C67" s="2">
        <v>138</v>
      </c>
      <c r="D67" s="3" t="s">
        <v>183</v>
      </c>
      <c r="E67" s="2" t="str">
        <f>IFERROR(IF(OR(VLOOKUP(D67,'Sheet1 (3)'!$C:$F,4,FALSE)="RMH",VLOOKUP(D67,'Sheet1 (3)'!$C:$F,4,FALSE)="PKR",VLOOKUP(D67,'Sheet1 (3)'!$C:$F,4,FALSE)=""),"Non Pertanian","Pertanian"),"Non Pertanian")</f>
        <v>Pertanian</v>
      </c>
      <c r="F67" s="2" t="s">
        <v>18</v>
      </c>
      <c r="G67" s="2" t="str">
        <f>IFERROR("Sesuai dengan petunjuk pemilik tanah : "&amp;VLOOKUP(D67,'Sheet1 (3)'!$C:$D,2,FALSE),"")</f>
        <v xml:space="preserve">Sesuai dengan petunjuk pemilik tanah : Nuraliah </v>
      </c>
      <c r="H67" s="2" t="s">
        <v>625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17</v>
      </c>
      <c r="N67" s="2" t="str">
        <f>IFERROR(IF(VLOOKUP(D67,'Sheet1 (3)'!$C:$F,4,FALSE)="","Tanah Perkampungan",CHOOSE(MATCH(VLOOKUP(D67,'Sheet1 (3)'!$C:$F,4,FALSE),{"PKR","RMH","SWH","KBN"},0),"Tanah Perkampungan","Permukiman","Tanah Persawahan","Tanah Kebun")),"Tanah Pekarangan")</f>
        <v>Tanah Kebun</v>
      </c>
      <c r="O67" s="2" t="str">
        <f>IF(IFERROR(VLOOKUP(D67,'Sheet1 (3)'!$C:$G,5,FALSE),"")="K1","Pengukuran Terestris yang pemetaannya diikatkan ke peta foto","Identifikasi batas bidang tanah diatas peta foto/citra")</f>
        <v>Identifikasi batas bidang tanah diatas peta foto/citra</v>
      </c>
      <c r="P67" s="2">
        <v>0.4</v>
      </c>
      <c r="Q67" s="2"/>
    </row>
    <row r="68" spans="1:17" x14ac:dyDescent="0.25">
      <c r="A68" s="5">
        <v>67</v>
      </c>
      <c r="B68" s="5">
        <v>68</v>
      </c>
      <c r="C68" s="2">
        <v>138</v>
      </c>
      <c r="D68" s="3" t="s">
        <v>158</v>
      </c>
      <c r="E68" s="2" t="str">
        <f>IFERROR(IF(OR(VLOOKUP(D68,'Sheet1 (3)'!$C:$F,4,FALSE)="RMH",VLOOKUP(D68,'Sheet1 (3)'!$C:$F,4,FALSE)="PKR",VLOOKUP(D68,'Sheet1 (3)'!$C:$F,4,FALSE)=""),"Non Pertanian","Pertanian"),"Non Pertanian")</f>
        <v>Pertanian</v>
      </c>
      <c r="F68" s="2" t="s">
        <v>18</v>
      </c>
      <c r="G68" s="2" t="str">
        <f>IFERROR("Sesuai dengan petunjuk pemilik tanah : "&amp;VLOOKUP(D68,'Sheet1 (3)'!$C:$D,2,FALSE),"")</f>
        <v>Sesuai dengan petunjuk pemilik tanah : Herlian</v>
      </c>
      <c r="H68" s="2" t="s">
        <v>625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17</v>
      </c>
      <c r="N68" s="2" t="str">
        <f>IFERROR(IF(VLOOKUP(D68,'Sheet1 (3)'!$C:$F,4,FALSE)="","Tanah Perkampungan",CHOOSE(MATCH(VLOOKUP(D68,'Sheet1 (3)'!$C:$F,4,FALSE),{"PKR","RMH","SWH","KBN"},0),"Tanah Perkampungan","Permukiman","Tanah Persawahan","Tanah Kebun")),"Tanah Pekarangan")</f>
        <v>Tanah Kebun</v>
      </c>
      <c r="O68" s="2" t="str">
        <f>IF(IFERROR(VLOOKUP(D68,'Sheet1 (3)'!$C:$G,5,FALSE),"")="K1","Pengukuran Terestris yang pemetaannya diikatkan ke peta foto","Identifikasi batas bidang tanah diatas peta foto/citra")</f>
        <v>Identifikasi batas bidang tanah diatas peta foto/citra</v>
      </c>
      <c r="P68" s="2">
        <v>0.4</v>
      </c>
      <c r="Q68" s="2"/>
    </row>
    <row r="69" spans="1:17" x14ac:dyDescent="0.25">
      <c r="A69" s="5">
        <v>68</v>
      </c>
      <c r="B69" s="5">
        <v>69</v>
      </c>
      <c r="C69" s="2">
        <v>138</v>
      </c>
      <c r="D69" s="3" t="s">
        <v>178</v>
      </c>
      <c r="E69" s="2" t="str">
        <f>IFERROR(IF(OR(VLOOKUP(D69,'Sheet1 (3)'!$C:$F,4,FALSE)="RMH",VLOOKUP(D69,'Sheet1 (3)'!$C:$F,4,FALSE)="PKR",VLOOKUP(D69,'Sheet1 (3)'!$C:$F,4,FALSE)=""),"Non Pertanian","Pertanian"),"Non Pertanian")</f>
        <v>Pertanian</v>
      </c>
      <c r="F69" s="2" t="s">
        <v>18</v>
      </c>
      <c r="G69" s="2" t="str">
        <f>IFERROR("Sesuai dengan petunjuk pemilik tanah : "&amp;VLOOKUP(D69,'Sheet1 (3)'!$C:$D,2,FALSE),"")</f>
        <v xml:space="preserve">Sesuai dengan petunjuk pemilik tanah : Rahmi Anggraini </v>
      </c>
      <c r="H69" s="2" t="s">
        <v>625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17</v>
      </c>
      <c r="N69" s="2" t="str">
        <f>IFERROR(IF(VLOOKUP(D69,'Sheet1 (3)'!$C:$F,4,FALSE)="","Tanah Perkampungan",CHOOSE(MATCH(VLOOKUP(D69,'Sheet1 (3)'!$C:$F,4,FALSE),{"PKR","RMH","SWH","KBN"},0),"Tanah Perkampungan","Permukiman","Tanah Persawahan","Tanah Kebun")),"Tanah Pekarangan")</f>
        <v>Tanah Kebun</v>
      </c>
      <c r="O69" s="2" t="str">
        <f>IF(IFERROR(VLOOKUP(D69,'Sheet1 (3)'!$C:$G,5,FALSE),"")="K1","Pengukuran Terestris yang pemetaannya diikatkan ke peta foto","Identifikasi batas bidang tanah diatas peta foto/citra")</f>
        <v>Identifikasi batas bidang tanah diatas peta foto/citra</v>
      </c>
      <c r="P69" s="2">
        <v>0.4</v>
      </c>
      <c r="Q69" s="2"/>
    </row>
    <row r="70" spans="1:17" x14ac:dyDescent="0.25">
      <c r="A70" s="5">
        <v>69</v>
      </c>
      <c r="B70" s="5">
        <v>70</v>
      </c>
      <c r="C70" s="2">
        <v>138</v>
      </c>
      <c r="D70" s="3" t="s">
        <v>192</v>
      </c>
      <c r="E70" s="2" t="str">
        <f>IFERROR(IF(OR(VLOOKUP(D70,'Sheet1 (3)'!$C:$F,4,FALSE)="RMH",VLOOKUP(D70,'Sheet1 (3)'!$C:$F,4,FALSE)="PKR",VLOOKUP(D70,'Sheet1 (3)'!$C:$F,4,FALSE)=""),"Non Pertanian","Pertanian"),"Non Pertanian")</f>
        <v>Pertanian</v>
      </c>
      <c r="F70" s="2" t="s">
        <v>18</v>
      </c>
      <c r="G70" s="2" t="str">
        <f>IFERROR("Sesuai dengan petunjuk pemilik tanah : "&amp;VLOOKUP(D70,'Sheet1 (3)'!$C:$D,2,FALSE),"")</f>
        <v xml:space="preserve">Sesuai dengan petunjuk pemilik tanah : Ika Zulaika </v>
      </c>
      <c r="H70" s="2" t="s">
        <v>625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17</v>
      </c>
      <c r="N70" s="2" t="str">
        <f>IFERROR(IF(VLOOKUP(D70,'Sheet1 (3)'!$C:$F,4,FALSE)="","Tanah Perkampungan",CHOOSE(MATCH(VLOOKUP(D70,'Sheet1 (3)'!$C:$F,4,FALSE),{"PKR","RMH","SWH","KBN"},0),"Tanah Perkampungan","Permukiman","Tanah Persawahan","Tanah Kebun")),"Tanah Pekarangan")</f>
        <v>Tanah Kebun</v>
      </c>
      <c r="O70" s="2" t="str">
        <f>IF(IFERROR(VLOOKUP(D70,'Sheet1 (3)'!$C:$G,5,FALSE),"")="K1","Pengukuran Terestris yang pemetaannya diikatkan ke peta foto","Identifikasi batas bidang tanah diatas peta foto/citra")</f>
        <v>Pengukuran Terestris yang pemetaannya diikatkan ke peta foto</v>
      </c>
      <c r="P70" s="2">
        <v>0.4</v>
      </c>
      <c r="Q70" s="2"/>
    </row>
    <row r="71" spans="1:17" x14ac:dyDescent="0.25">
      <c r="A71" s="5">
        <v>70</v>
      </c>
      <c r="B71" s="5">
        <v>71</v>
      </c>
      <c r="C71" s="2">
        <v>138</v>
      </c>
      <c r="D71" s="3" t="s">
        <v>116</v>
      </c>
      <c r="E71" s="2" t="str">
        <f>IFERROR(IF(OR(VLOOKUP(D71,'Sheet1 (3)'!$C:$F,4,FALSE)="RMH",VLOOKUP(D71,'Sheet1 (3)'!$C:$F,4,FALSE)="PKR",VLOOKUP(D71,'Sheet1 (3)'!$C:$F,4,FALSE)=""),"Non Pertanian","Pertanian"),"Non Pertanian")</f>
        <v>Pertanian</v>
      </c>
      <c r="F71" s="2" t="s">
        <v>18</v>
      </c>
      <c r="G71" s="2" t="str">
        <f>IFERROR("Sesuai dengan petunjuk pemilik tanah : "&amp;VLOOKUP(D71,'Sheet1 (3)'!$C:$D,2,FALSE),"")</f>
        <v>Sesuai dengan petunjuk pemilik tanah : Husin</v>
      </c>
      <c r="H71" s="2" t="s">
        <v>625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17</v>
      </c>
      <c r="N71" s="2" t="str">
        <f>IFERROR(IF(VLOOKUP(D71,'Sheet1 (3)'!$C:$F,4,FALSE)="","Tanah Perkampungan",CHOOSE(MATCH(VLOOKUP(D71,'Sheet1 (3)'!$C:$F,4,FALSE),{"PKR","RMH","SWH","KBN"},0),"Tanah Perkampungan","Permukiman","Tanah Persawahan","Tanah Kebun")),"Tanah Pekarangan")</f>
        <v>Tanah Kebun</v>
      </c>
      <c r="O71" s="2" t="str">
        <f>IF(IFERROR(VLOOKUP(D71,'Sheet1 (3)'!$C:$G,5,FALSE),"")="K1","Pengukuran Terestris yang pemetaannya diikatkan ke peta foto","Identifikasi batas bidang tanah diatas peta foto/citra")</f>
        <v>Identifikasi batas bidang tanah diatas peta foto/citra</v>
      </c>
      <c r="P71" s="2">
        <v>0.4</v>
      </c>
      <c r="Q71" s="2"/>
    </row>
    <row r="72" spans="1:17" x14ac:dyDescent="0.25">
      <c r="A72" s="5">
        <v>71</v>
      </c>
      <c r="B72" s="5">
        <v>72</v>
      </c>
      <c r="C72" s="2">
        <v>138</v>
      </c>
      <c r="D72" s="2" t="s">
        <v>233</v>
      </c>
      <c r="E72" s="2" t="str">
        <f>IFERROR(IF(OR(VLOOKUP(D72,'Sheet1 (3)'!$C:$F,4,FALSE)="RMH",VLOOKUP(D72,'Sheet1 (3)'!$C:$F,4,FALSE)="PKR",VLOOKUP(D72,'Sheet1 (3)'!$C:$F,4,FALSE)=""),"Non Pertanian","Pertanian"),"Non Pertanian")</f>
        <v>Pertanian</v>
      </c>
      <c r="F72" s="2" t="s">
        <v>18</v>
      </c>
      <c r="G72" s="2" t="str">
        <f>IFERROR("Sesuai dengan petunjuk pemilik tanah : "&amp;VLOOKUP(D72,'Sheet1 (3)'!$C:$D,2,FALSE),"")</f>
        <v xml:space="preserve">Sesuai dengan petunjuk pemilik tanah : Husban, S.pd.i </v>
      </c>
      <c r="H72" s="2" t="s">
        <v>625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17</v>
      </c>
      <c r="N72" s="2" t="str">
        <f>IFERROR(IF(VLOOKUP(D72,'Sheet1 (3)'!$C:$F,4,FALSE)="","Tanah Perkampungan",CHOOSE(MATCH(VLOOKUP(D72,'Sheet1 (3)'!$C:$F,4,FALSE),{"PKR","RMH","SWH","KBN"},0),"Tanah Perkampungan","Permukiman","Tanah Persawahan","Tanah Kebun")),"Tanah Pekarangan")</f>
        <v>Tanah Kebun</v>
      </c>
      <c r="O72" s="2" t="str">
        <f>IF(IFERROR(VLOOKUP(D72,'Sheet1 (3)'!$C:$G,5,FALSE),"")="K1","Pengukuran Terestris yang pemetaannya diikatkan ke peta foto","Identifikasi batas bidang tanah diatas peta foto/citra")</f>
        <v>Identifikasi batas bidang tanah diatas peta foto/citra</v>
      </c>
      <c r="P72" s="2">
        <v>0.4</v>
      </c>
      <c r="Q72" s="2"/>
    </row>
    <row r="73" spans="1:17" x14ac:dyDescent="0.25">
      <c r="A73" s="5">
        <v>72</v>
      </c>
      <c r="B73" s="5">
        <v>73</v>
      </c>
      <c r="C73" s="2">
        <v>138</v>
      </c>
      <c r="D73" s="2" t="s">
        <v>174</v>
      </c>
      <c r="E73" s="2" t="str">
        <f>IFERROR(IF(OR(VLOOKUP(D73,'Sheet1 (3)'!$C:$F,4,FALSE)="RMH",VLOOKUP(D73,'Sheet1 (3)'!$C:$F,4,FALSE)="PKR",VLOOKUP(D73,'Sheet1 (3)'!$C:$F,4,FALSE)=""),"Non Pertanian","Pertanian"),"Non Pertanian")</f>
        <v>Pertanian</v>
      </c>
      <c r="F73" s="2" t="s">
        <v>18</v>
      </c>
      <c r="G73" s="2" t="str">
        <f>IFERROR("Sesuai dengan petunjuk pemilik tanah : "&amp;VLOOKUP(D73,'Sheet1 (3)'!$C:$D,2,FALSE),"")</f>
        <v>Sesuai dengan petunjuk pemilik tanah : Husin</v>
      </c>
      <c r="H73" s="2" t="s">
        <v>625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17</v>
      </c>
      <c r="N73" s="2" t="str">
        <f>IFERROR(IF(VLOOKUP(D73,'Sheet1 (3)'!$C:$F,4,FALSE)="","Tanah Perkampungan",CHOOSE(MATCH(VLOOKUP(D73,'Sheet1 (3)'!$C:$F,4,FALSE),{"PKR","RMH","SWH","KBN"},0),"Tanah Perkampungan","Permukiman","Tanah Persawahan","Tanah Kebun")),"Tanah Pekarangan")</f>
        <v>Tanah Kebun</v>
      </c>
      <c r="O73" s="2" t="str">
        <f>IF(IFERROR(VLOOKUP(D73,'Sheet1 (3)'!$C:$G,5,FALSE),"")="K1","Pengukuran Terestris yang pemetaannya diikatkan ke peta foto","Identifikasi batas bidang tanah diatas peta foto/citra")</f>
        <v>Identifikasi batas bidang tanah diatas peta foto/citra</v>
      </c>
      <c r="P73" s="2">
        <v>0.4</v>
      </c>
      <c r="Q73" s="2"/>
    </row>
    <row r="74" spans="1:17" x14ac:dyDescent="0.25">
      <c r="A74" s="5">
        <v>73</v>
      </c>
      <c r="B74" s="5">
        <v>74</v>
      </c>
      <c r="C74" s="2">
        <v>138</v>
      </c>
      <c r="D74" s="2" t="s">
        <v>126</v>
      </c>
      <c r="E74" s="2" t="str">
        <f>IFERROR(IF(OR(VLOOKUP(D74,'Sheet1 (3)'!$C:$F,4,FALSE)="RMH",VLOOKUP(D74,'Sheet1 (3)'!$C:$F,4,FALSE)="PKR",VLOOKUP(D74,'Sheet1 (3)'!$C:$F,4,FALSE)=""),"Non Pertanian","Pertanian"),"Non Pertanian")</f>
        <v>Pertanian</v>
      </c>
      <c r="F74" s="2" t="s">
        <v>18</v>
      </c>
      <c r="G74" s="2" t="str">
        <f>IFERROR("Sesuai dengan petunjuk pemilik tanah : "&amp;VLOOKUP(D74,'Sheet1 (3)'!$C:$D,2,FALSE),"")</f>
        <v xml:space="preserve">Sesuai dengan petunjuk pemilik tanah : Mau'izhotul Hasanah </v>
      </c>
      <c r="H74" s="2" t="s">
        <v>625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17</v>
      </c>
      <c r="N74" s="2" t="str">
        <f>IFERROR(IF(VLOOKUP(D74,'Sheet1 (3)'!$C:$F,4,FALSE)="","Tanah Perkampungan",CHOOSE(MATCH(VLOOKUP(D74,'Sheet1 (3)'!$C:$F,4,FALSE),{"PKR","RMH","SWH","KBN"},0),"Tanah Perkampungan","Permukiman","Tanah Persawahan","Tanah Kebun")),"Tanah Pekarangan")</f>
        <v>Tanah Kebun</v>
      </c>
      <c r="O74" s="2" t="str">
        <f>IF(IFERROR(VLOOKUP(D74,'Sheet1 (3)'!$C:$G,5,FALSE),"")="K1","Pengukuran Terestris yang pemetaannya diikatkan ke peta foto","Identifikasi batas bidang tanah diatas peta foto/citra")</f>
        <v>Pengukuran Terestris yang pemetaannya diikatkan ke peta foto</v>
      </c>
      <c r="P74" s="2">
        <v>0.4</v>
      </c>
      <c r="Q74" s="2"/>
    </row>
    <row r="75" spans="1:17" x14ac:dyDescent="0.25">
      <c r="A75" s="5">
        <v>74</v>
      </c>
      <c r="B75" s="5">
        <v>75</v>
      </c>
      <c r="C75" s="2">
        <v>138</v>
      </c>
      <c r="D75" s="2" t="s">
        <v>197</v>
      </c>
      <c r="E75" s="2" t="str">
        <f>IFERROR(IF(OR(VLOOKUP(D75,'Sheet1 (3)'!$C:$F,4,FALSE)="RMH",VLOOKUP(D75,'Sheet1 (3)'!$C:$F,4,FALSE)="PKR",VLOOKUP(D75,'Sheet1 (3)'!$C:$F,4,FALSE)=""),"Non Pertanian","Pertanian"),"Non Pertanian")</f>
        <v>Pertanian</v>
      </c>
      <c r="F75" s="2" t="s">
        <v>18</v>
      </c>
      <c r="G75" s="2" t="str">
        <f>IFERROR("Sesuai dengan petunjuk pemilik tanah : "&amp;VLOOKUP(D75,'Sheet1 (3)'!$C:$D,2,FALSE),"")</f>
        <v xml:space="preserve">Sesuai dengan petunjuk pemilik tanah : Aslia </v>
      </c>
      <c r="H75" s="2" t="s">
        <v>625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17</v>
      </c>
      <c r="N75" s="2" t="str">
        <f>IFERROR(IF(VLOOKUP(D75,'Sheet1 (3)'!$C:$F,4,FALSE)="","Tanah Perkampungan",CHOOSE(MATCH(VLOOKUP(D75,'Sheet1 (3)'!$C:$F,4,FALSE),{"PKR","RMH","SWH","KBN"},0),"Tanah Perkampungan","Permukiman","Tanah Persawahan","Tanah Kebun")),"Tanah Pekarangan")</f>
        <v>Tanah Kebun</v>
      </c>
      <c r="O75" s="2" t="str">
        <f>IF(IFERROR(VLOOKUP(D75,'Sheet1 (3)'!$C:$G,5,FALSE),"")="K1","Pengukuran Terestris yang pemetaannya diikatkan ke peta foto","Identifikasi batas bidang tanah diatas peta foto/citra")</f>
        <v>Pengukuran Terestris yang pemetaannya diikatkan ke peta foto</v>
      </c>
      <c r="P75" s="2">
        <v>0.4</v>
      </c>
      <c r="Q75" s="2"/>
    </row>
    <row r="76" spans="1:17" x14ac:dyDescent="0.25">
      <c r="A76" s="5">
        <v>75</v>
      </c>
      <c r="B76" s="5">
        <v>76</v>
      </c>
      <c r="C76" s="2">
        <v>138</v>
      </c>
      <c r="D76" s="2" t="s">
        <v>134</v>
      </c>
      <c r="E76" s="2" t="str">
        <f>IFERROR(IF(OR(VLOOKUP(D76,'Sheet1 (3)'!$C:$F,4,FALSE)="RMH",VLOOKUP(D76,'Sheet1 (3)'!$C:$F,4,FALSE)="PKR",VLOOKUP(D76,'Sheet1 (3)'!$C:$F,4,FALSE)=""),"Non Pertanian","Pertanian"),"Non Pertanian")</f>
        <v>Pertanian</v>
      </c>
      <c r="F76" s="2" t="s">
        <v>18</v>
      </c>
      <c r="G76" s="2" t="str">
        <f>IFERROR("Sesuai dengan petunjuk pemilik tanah : "&amp;VLOOKUP(D76,'Sheet1 (3)'!$C:$D,2,FALSE),"")</f>
        <v xml:space="preserve">Sesuai dengan petunjuk pemilik tanah : Zamhuri Noer, Amd </v>
      </c>
      <c r="H76" s="2" t="s">
        <v>625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17</v>
      </c>
      <c r="N76" s="2" t="str">
        <f>IFERROR(IF(VLOOKUP(D76,'Sheet1 (3)'!$C:$F,4,FALSE)="","Tanah Perkampungan",CHOOSE(MATCH(VLOOKUP(D76,'Sheet1 (3)'!$C:$F,4,FALSE),{"PKR","RMH","SWH","KBN"},0),"Tanah Perkampungan","Permukiman","Tanah Persawahan","Tanah Kebun")),"Tanah Pekarangan")</f>
        <v>Tanah Kebun</v>
      </c>
      <c r="O76" s="2" t="str">
        <f>IF(IFERROR(VLOOKUP(D76,'Sheet1 (3)'!$C:$G,5,FALSE),"")="K1","Pengukuran Terestris yang pemetaannya diikatkan ke peta foto","Identifikasi batas bidang tanah diatas peta foto/citra")</f>
        <v>Identifikasi batas bidang tanah diatas peta foto/citra</v>
      </c>
      <c r="P76" s="2">
        <v>0.4</v>
      </c>
      <c r="Q76" s="2"/>
    </row>
    <row r="77" spans="1:17" x14ac:dyDescent="0.25">
      <c r="A77" s="5">
        <v>76</v>
      </c>
      <c r="B77" s="5">
        <v>77</v>
      </c>
      <c r="C77" s="2">
        <v>138</v>
      </c>
      <c r="D77" s="2" t="s">
        <v>147</v>
      </c>
      <c r="E77" s="2" t="str">
        <f>IFERROR(IF(OR(VLOOKUP(D77,'Sheet1 (3)'!$C:$F,4,FALSE)="RMH",VLOOKUP(D77,'Sheet1 (3)'!$C:$F,4,FALSE)="PKR",VLOOKUP(D77,'Sheet1 (3)'!$C:$F,4,FALSE)=""),"Non Pertanian","Pertanian"),"Non Pertanian")</f>
        <v>Pertanian</v>
      </c>
      <c r="F77" s="2" t="s">
        <v>18</v>
      </c>
      <c r="G77" s="2" t="str">
        <f>IFERROR("Sesuai dengan petunjuk pemilik tanah : "&amp;VLOOKUP(D77,'Sheet1 (3)'!$C:$D,2,FALSE),"")</f>
        <v>Sesuai dengan petunjuk pemilik tanah : Mawaddah</v>
      </c>
      <c r="H77" s="2" t="s">
        <v>625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17</v>
      </c>
      <c r="N77" s="2" t="str">
        <f>IFERROR(IF(VLOOKUP(D77,'Sheet1 (3)'!$C:$F,4,FALSE)="","Tanah Perkampungan",CHOOSE(MATCH(VLOOKUP(D77,'Sheet1 (3)'!$C:$F,4,FALSE),{"PKR","RMH","SWH","KBN"},0),"Tanah Perkampungan","Permukiman","Tanah Persawahan","Tanah Kebun")),"Tanah Pekarangan")</f>
        <v>Tanah Kebun</v>
      </c>
      <c r="O77" s="2" t="str">
        <f>IF(IFERROR(VLOOKUP(D77,'Sheet1 (3)'!$C:$G,5,FALSE),"")="K1","Pengukuran Terestris yang pemetaannya diikatkan ke peta foto","Identifikasi batas bidang tanah diatas peta foto/citra")</f>
        <v>Pengukuran Terestris yang pemetaannya diikatkan ke peta foto</v>
      </c>
      <c r="P77" s="2">
        <v>0.4</v>
      </c>
      <c r="Q77" s="2"/>
    </row>
    <row r="78" spans="1:17" x14ac:dyDescent="0.25">
      <c r="A78" s="5">
        <v>77</v>
      </c>
      <c r="B78" s="5">
        <v>78</v>
      </c>
      <c r="C78" s="2">
        <v>138</v>
      </c>
      <c r="D78" s="2" t="s">
        <v>43</v>
      </c>
      <c r="E78" s="2" t="str">
        <f>IFERROR(IF(OR(VLOOKUP(D78,'Sheet1 (3)'!$C:$F,4,FALSE)="RMH",VLOOKUP(D78,'Sheet1 (3)'!$C:$F,4,FALSE)="PKR",VLOOKUP(D78,'Sheet1 (3)'!$C:$F,4,FALSE)=""),"Non Pertanian","Pertanian"),"Non Pertanian")</f>
        <v>Pertanian</v>
      </c>
      <c r="F78" s="2" t="s">
        <v>18</v>
      </c>
      <c r="G78" s="2" t="str">
        <f>IFERROR("Sesuai dengan petunjuk pemilik tanah : "&amp;VLOOKUP(D78,'Sheet1 (3)'!$C:$D,2,FALSE),"")</f>
        <v>Sesuai dengan petunjuk pemilik tanah : Mashur</v>
      </c>
      <c r="H78" s="2" t="s">
        <v>625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17</v>
      </c>
      <c r="N78" s="2" t="str">
        <f>IFERROR(IF(VLOOKUP(D78,'Sheet1 (3)'!$C:$F,4,FALSE)="","Tanah Perkampungan",CHOOSE(MATCH(VLOOKUP(D78,'Sheet1 (3)'!$C:$F,4,FALSE),{"PKR","RMH","SWH","KBN"},0),"Tanah Perkampungan","Permukiman","Tanah Persawahan","Tanah Kebun")),"Tanah Pekarangan")</f>
        <v>Tanah Kebun</v>
      </c>
      <c r="O78" s="2" t="str">
        <f>IF(IFERROR(VLOOKUP(D78,'Sheet1 (3)'!$C:$G,5,FALSE),"")="K1","Pengukuran Terestris yang pemetaannya diikatkan ke peta foto","Identifikasi batas bidang tanah diatas peta foto/citra")</f>
        <v>Identifikasi batas bidang tanah diatas peta foto/citra</v>
      </c>
      <c r="P78" s="2">
        <v>0.4</v>
      </c>
      <c r="Q78" s="2"/>
    </row>
    <row r="79" spans="1:17" x14ac:dyDescent="0.25">
      <c r="A79" s="5">
        <v>78</v>
      </c>
      <c r="B79" s="5">
        <v>79</v>
      </c>
      <c r="C79" s="2">
        <v>138</v>
      </c>
      <c r="D79" s="2" t="s">
        <v>69</v>
      </c>
      <c r="E79" s="2" t="str">
        <f>IFERROR(IF(OR(VLOOKUP(D79,'Sheet1 (3)'!$C:$F,4,FALSE)="RMH",VLOOKUP(D79,'Sheet1 (3)'!$C:$F,4,FALSE)="PKR",VLOOKUP(D79,'Sheet1 (3)'!$C:$F,4,FALSE)=""),"Non Pertanian","Pertanian"),"Non Pertanian")</f>
        <v>Pertanian</v>
      </c>
      <c r="F79" s="2" t="s">
        <v>18</v>
      </c>
      <c r="G79" s="2" t="str">
        <f>IFERROR("Sesuai dengan petunjuk pemilik tanah : "&amp;VLOOKUP(D79,'Sheet1 (3)'!$C:$D,2,FALSE),"")</f>
        <v>Sesuai dengan petunjuk pemilik tanah : Balkhi</v>
      </c>
      <c r="H79" s="2" t="s">
        <v>625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17</v>
      </c>
      <c r="N79" s="2" t="str">
        <f>IFERROR(IF(VLOOKUP(D79,'Sheet1 (3)'!$C:$F,4,FALSE)="","Tanah Perkampungan",CHOOSE(MATCH(VLOOKUP(D79,'Sheet1 (3)'!$C:$F,4,FALSE),{"PKR","RMH","SWH","KBN"},0),"Tanah Perkampungan","Permukiman","Tanah Persawahan","Tanah Kebun")),"Tanah Pekarangan")</f>
        <v>Tanah Kebun</v>
      </c>
      <c r="O79" s="2" t="str">
        <f>IF(IFERROR(VLOOKUP(D79,'Sheet1 (3)'!$C:$G,5,FALSE),"")="K1","Pengukuran Terestris yang pemetaannya diikatkan ke peta foto","Identifikasi batas bidang tanah diatas peta foto/citra")</f>
        <v>Identifikasi batas bidang tanah diatas peta foto/citra</v>
      </c>
      <c r="P79" s="2">
        <v>0.4</v>
      </c>
      <c r="Q79" s="2"/>
    </row>
    <row r="80" spans="1:17" x14ac:dyDescent="0.25">
      <c r="A80" s="5">
        <v>79</v>
      </c>
      <c r="B80" s="5">
        <v>80</v>
      </c>
      <c r="C80" s="2">
        <v>138</v>
      </c>
      <c r="D80" s="2" t="s">
        <v>144</v>
      </c>
      <c r="E80" s="2" t="str">
        <f>IFERROR(IF(OR(VLOOKUP(D80,'Sheet1 (3)'!$C:$F,4,FALSE)="RMH",VLOOKUP(D80,'Sheet1 (3)'!$C:$F,4,FALSE)="PKR",VLOOKUP(D80,'Sheet1 (3)'!$C:$F,4,FALSE)=""),"Non Pertanian","Pertanian"),"Non Pertanian")</f>
        <v>Pertanian</v>
      </c>
      <c r="F80" s="2" t="s">
        <v>18</v>
      </c>
      <c r="G80" s="2" t="str">
        <f>IFERROR("Sesuai dengan petunjuk pemilik tanah : "&amp;VLOOKUP(D80,'Sheet1 (3)'!$C:$D,2,FALSE),"")</f>
        <v>Sesuai dengan petunjuk pemilik tanah : Abdullah</v>
      </c>
      <c r="H80" s="2" t="s">
        <v>625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17</v>
      </c>
      <c r="N80" s="2" t="str">
        <f>IFERROR(IF(VLOOKUP(D80,'Sheet1 (3)'!$C:$F,4,FALSE)="","Tanah Perkampungan",CHOOSE(MATCH(VLOOKUP(D80,'Sheet1 (3)'!$C:$F,4,FALSE),{"PKR","RMH","SWH","KBN"},0),"Tanah Perkampungan","Permukiman","Tanah Persawahan","Tanah Kebun")),"Tanah Pekarangan")</f>
        <v>Tanah Kebun</v>
      </c>
      <c r="O80" s="2" t="str">
        <f>IF(IFERROR(VLOOKUP(D80,'Sheet1 (3)'!$C:$G,5,FALSE),"")="K1","Pengukuran Terestris yang pemetaannya diikatkan ke peta foto","Identifikasi batas bidang tanah diatas peta foto/citra")</f>
        <v>Identifikasi batas bidang tanah diatas peta foto/citra</v>
      </c>
      <c r="P80" s="2">
        <v>0.4</v>
      </c>
      <c r="Q80" s="2"/>
    </row>
    <row r="81" spans="1:17" x14ac:dyDescent="0.25">
      <c r="A81" s="5">
        <v>80</v>
      </c>
      <c r="B81" s="5">
        <v>81</v>
      </c>
      <c r="C81" s="2">
        <v>138</v>
      </c>
      <c r="D81" s="2" t="s">
        <v>208</v>
      </c>
      <c r="E81" s="2" t="str">
        <f>IFERROR(IF(OR(VLOOKUP(D81,'Sheet1 (3)'!$C:$F,4,FALSE)="RMH",VLOOKUP(D81,'Sheet1 (3)'!$C:$F,4,FALSE)="PKR",VLOOKUP(D81,'Sheet1 (3)'!$C:$F,4,FALSE)=""),"Non Pertanian","Pertanian"),"Non Pertanian")</f>
        <v>Pertanian</v>
      </c>
      <c r="F81" s="2" t="s">
        <v>18</v>
      </c>
      <c r="G81" s="2" t="str">
        <f>IFERROR("Sesuai dengan petunjuk pemilik tanah : "&amp;VLOOKUP(D81,'Sheet1 (3)'!$C:$D,2,FALSE),"")</f>
        <v>Sesuai dengan petunjuk pemilik tanah : Samiri</v>
      </c>
      <c r="H81" s="2" t="s">
        <v>625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17</v>
      </c>
      <c r="N81" s="2" t="str">
        <f>IFERROR(IF(VLOOKUP(D81,'Sheet1 (3)'!$C:$F,4,FALSE)="","Tanah Perkampungan",CHOOSE(MATCH(VLOOKUP(D81,'Sheet1 (3)'!$C:$F,4,FALSE),{"PKR","RMH","SWH","KBN"},0),"Tanah Perkampungan","Permukiman","Tanah Persawahan","Tanah Kebun")),"Tanah Pekarangan")</f>
        <v>Tanah Kebun</v>
      </c>
      <c r="O81" s="2" t="str">
        <f>IF(IFERROR(VLOOKUP(D81,'Sheet1 (3)'!$C:$G,5,FALSE),"")="K1","Pengukuran Terestris yang pemetaannya diikatkan ke peta foto","Identifikasi batas bidang tanah diatas peta foto/citra")</f>
        <v>Identifikasi batas bidang tanah diatas peta foto/citra</v>
      </c>
      <c r="P81" s="2">
        <v>0.4</v>
      </c>
      <c r="Q81" s="2"/>
    </row>
    <row r="82" spans="1:17" x14ac:dyDescent="0.25">
      <c r="A82" s="5">
        <v>81</v>
      </c>
      <c r="B82" s="5">
        <v>82</v>
      </c>
      <c r="C82" s="2">
        <v>138</v>
      </c>
      <c r="D82" s="2" t="s">
        <v>141</v>
      </c>
      <c r="E82" s="2" t="str">
        <f>IFERROR(IF(OR(VLOOKUP(D82,'Sheet1 (3)'!$C:$F,4,FALSE)="RMH",VLOOKUP(D82,'Sheet1 (3)'!$C:$F,4,FALSE)="PKR",VLOOKUP(D82,'Sheet1 (3)'!$C:$F,4,FALSE)=""),"Non Pertanian","Pertanian"),"Non Pertanian")</f>
        <v>Pertanian</v>
      </c>
      <c r="F82" s="2" t="s">
        <v>18</v>
      </c>
      <c r="G82" s="2" t="str">
        <f>IFERROR("Sesuai dengan petunjuk pemilik tanah : "&amp;VLOOKUP(D82,'Sheet1 (3)'!$C:$D,2,FALSE),"")</f>
        <v>Sesuai dengan petunjuk pemilik tanah : Muna</v>
      </c>
      <c r="H82" s="2" t="s">
        <v>625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17</v>
      </c>
      <c r="N82" s="2" t="str">
        <f>IFERROR(IF(VLOOKUP(D82,'Sheet1 (3)'!$C:$F,4,FALSE)="","Tanah Perkampungan",CHOOSE(MATCH(VLOOKUP(D82,'Sheet1 (3)'!$C:$F,4,FALSE),{"PKR","RMH","SWH","KBN"},0),"Tanah Perkampungan","Permukiman","Tanah Persawahan","Tanah Kebun")),"Tanah Pekarangan")</f>
        <v>Tanah Kebun</v>
      </c>
      <c r="O82" s="2" t="str">
        <f>IF(IFERROR(VLOOKUP(D82,'Sheet1 (3)'!$C:$G,5,FALSE),"")="K1","Pengukuran Terestris yang pemetaannya diikatkan ke peta foto","Identifikasi batas bidang tanah diatas peta foto/citra")</f>
        <v>Identifikasi batas bidang tanah diatas peta foto/citra</v>
      </c>
      <c r="P82" s="2">
        <v>0.4</v>
      </c>
      <c r="Q82" s="2"/>
    </row>
    <row r="83" spans="1:17" x14ac:dyDescent="0.25">
      <c r="A83" s="5">
        <v>82</v>
      </c>
      <c r="B83" s="5">
        <v>83</v>
      </c>
      <c r="C83" s="2">
        <v>138</v>
      </c>
      <c r="D83" s="2" t="s">
        <v>160</v>
      </c>
      <c r="E83" s="2" t="str">
        <f>IFERROR(IF(OR(VLOOKUP(D83,'Sheet1 (3)'!$C:$F,4,FALSE)="RMH",VLOOKUP(D83,'Sheet1 (3)'!$C:$F,4,FALSE)="PKR",VLOOKUP(D83,'Sheet1 (3)'!$C:$F,4,FALSE)=""),"Non Pertanian","Pertanian"),"Non Pertanian")</f>
        <v>Pertanian</v>
      </c>
      <c r="F83" s="2" t="s">
        <v>18</v>
      </c>
      <c r="G83" s="2" t="str">
        <f>IFERROR("Sesuai dengan petunjuk pemilik tanah : "&amp;VLOOKUP(D83,'Sheet1 (3)'!$C:$D,2,FALSE),"")</f>
        <v>Sesuai dengan petunjuk pemilik tanah : Mawati</v>
      </c>
      <c r="H83" s="2" t="s">
        <v>625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17</v>
      </c>
      <c r="N83" s="2" t="str">
        <f>IFERROR(IF(VLOOKUP(D83,'Sheet1 (3)'!$C:$F,4,FALSE)="","Tanah Perkampungan",CHOOSE(MATCH(VLOOKUP(D83,'Sheet1 (3)'!$C:$F,4,FALSE),{"PKR","RMH","SWH","KBN"},0),"Tanah Perkampungan","Permukiman","Tanah Persawahan","Tanah Kebun")),"Tanah Pekarangan")</f>
        <v>Tanah Kebun</v>
      </c>
      <c r="O83" s="2" t="str">
        <f>IF(IFERROR(VLOOKUP(D83,'Sheet1 (3)'!$C:$G,5,FALSE),"")="K1","Pengukuran Terestris yang pemetaannya diikatkan ke peta foto","Identifikasi batas bidang tanah diatas peta foto/citra")</f>
        <v>Identifikasi batas bidang tanah diatas peta foto/citra</v>
      </c>
      <c r="P83" s="2">
        <v>0.4</v>
      </c>
      <c r="Q83" s="2"/>
    </row>
    <row r="84" spans="1:17" x14ac:dyDescent="0.25">
      <c r="A84" s="5">
        <v>83</v>
      </c>
      <c r="B84" s="5">
        <v>84</v>
      </c>
      <c r="C84" s="2">
        <v>138</v>
      </c>
      <c r="D84" s="2" t="s">
        <v>57</v>
      </c>
      <c r="E84" s="2" t="str">
        <f>IFERROR(IF(OR(VLOOKUP(D84,'Sheet1 (3)'!$C:$F,4,FALSE)="RMH",VLOOKUP(D84,'Sheet1 (3)'!$C:$F,4,FALSE)="PKR",VLOOKUP(D84,'Sheet1 (3)'!$C:$F,4,FALSE)=""),"Non Pertanian","Pertanian"),"Non Pertanian")</f>
        <v>Pertanian</v>
      </c>
      <c r="F84" s="2" t="s">
        <v>18</v>
      </c>
      <c r="G84" s="2" t="str">
        <f>IFERROR("Sesuai dengan petunjuk pemilik tanah : "&amp;VLOOKUP(D84,'Sheet1 (3)'!$C:$D,2,FALSE),"")</f>
        <v>Sesuai dengan petunjuk pemilik tanah : Aswad</v>
      </c>
      <c r="H84" s="2" t="s">
        <v>625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17</v>
      </c>
      <c r="N84" s="2" t="str">
        <f>IFERROR(IF(VLOOKUP(D84,'Sheet1 (3)'!$C:$F,4,FALSE)="","Tanah Perkampungan",CHOOSE(MATCH(VLOOKUP(D84,'Sheet1 (3)'!$C:$F,4,FALSE),{"PKR","RMH","SWH","KBN"},0),"Tanah Perkampungan","Permukiman","Tanah Persawahan","Tanah Kebun")),"Tanah Pekarangan")</f>
        <v>Tanah Kebun</v>
      </c>
      <c r="O84" s="2" t="str">
        <f>IF(IFERROR(VLOOKUP(D84,'Sheet1 (3)'!$C:$G,5,FALSE),"")="K1","Pengukuran Terestris yang pemetaannya diikatkan ke peta foto","Identifikasi batas bidang tanah diatas peta foto/citra")</f>
        <v>Pengukuran Terestris yang pemetaannya diikatkan ke peta foto</v>
      </c>
      <c r="P84" s="2">
        <v>0.4</v>
      </c>
      <c r="Q84" s="2"/>
    </row>
    <row r="85" spans="1:17" x14ac:dyDescent="0.25">
      <c r="A85" s="5">
        <v>84</v>
      </c>
      <c r="B85" s="5">
        <v>85</v>
      </c>
      <c r="C85" s="2">
        <v>138</v>
      </c>
      <c r="D85" s="2" t="s">
        <v>137</v>
      </c>
      <c r="E85" s="2" t="str">
        <f>IFERROR(IF(OR(VLOOKUP(D85,'Sheet1 (3)'!$C:$F,4,FALSE)="RMH",VLOOKUP(D85,'Sheet1 (3)'!$C:$F,4,FALSE)="PKR",VLOOKUP(D85,'Sheet1 (3)'!$C:$F,4,FALSE)=""),"Non Pertanian","Pertanian"),"Non Pertanian")</f>
        <v>Pertanian</v>
      </c>
      <c r="F85" s="2" t="s">
        <v>18</v>
      </c>
      <c r="G85" s="2" t="str">
        <f>IFERROR("Sesuai dengan petunjuk pemilik tanah : "&amp;VLOOKUP(D85,'Sheet1 (3)'!$C:$D,2,FALSE),"")</f>
        <v>Sesuai dengan petunjuk pemilik tanah : Suhardi</v>
      </c>
      <c r="H85" s="2" t="s">
        <v>625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17</v>
      </c>
      <c r="N85" s="2" t="str">
        <f>IFERROR(IF(VLOOKUP(D85,'Sheet1 (3)'!$C:$F,4,FALSE)="","Tanah Perkampungan",CHOOSE(MATCH(VLOOKUP(D85,'Sheet1 (3)'!$C:$F,4,FALSE),{"PKR","RMH","SWH","KBN"},0),"Tanah Perkampungan","Permukiman","Tanah Persawahan","Tanah Kebun")),"Tanah Pekarangan")</f>
        <v>Tanah Kebun</v>
      </c>
      <c r="O85" s="2" t="str">
        <f>IF(IFERROR(VLOOKUP(D85,'Sheet1 (3)'!$C:$G,5,FALSE),"")="K1","Pengukuran Terestris yang pemetaannya diikatkan ke peta foto","Identifikasi batas bidang tanah diatas peta foto/citra")</f>
        <v>Identifikasi batas bidang tanah diatas peta foto/citra</v>
      </c>
      <c r="P85" s="2">
        <v>0.4</v>
      </c>
      <c r="Q85" s="2"/>
    </row>
    <row r="86" spans="1:17" x14ac:dyDescent="0.25">
      <c r="A86" s="5">
        <v>85</v>
      </c>
      <c r="B86" s="5">
        <v>86</v>
      </c>
      <c r="C86" s="2">
        <v>138</v>
      </c>
      <c r="D86" s="2" t="s">
        <v>104</v>
      </c>
      <c r="E86" s="2" t="str">
        <f>IFERROR(IF(OR(VLOOKUP(D86,'Sheet1 (3)'!$C:$F,4,FALSE)="RMH",VLOOKUP(D86,'Sheet1 (3)'!$C:$F,4,FALSE)="PKR",VLOOKUP(D86,'Sheet1 (3)'!$C:$F,4,FALSE)=""),"Non Pertanian","Pertanian"),"Non Pertanian")</f>
        <v>Pertanian</v>
      </c>
      <c r="F86" s="2" t="s">
        <v>18</v>
      </c>
      <c r="G86" s="2" t="str">
        <f>IFERROR("Sesuai dengan petunjuk pemilik tanah : "&amp;VLOOKUP(D86,'Sheet1 (3)'!$C:$D,2,FALSE),"")</f>
        <v>Sesuai dengan petunjuk pemilik tanah : Marini</v>
      </c>
      <c r="H86" s="2" t="s">
        <v>625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17</v>
      </c>
      <c r="N86" s="2" t="str">
        <f>IFERROR(IF(VLOOKUP(D86,'Sheet1 (3)'!$C:$F,4,FALSE)="","Tanah Perkampungan",CHOOSE(MATCH(VLOOKUP(D86,'Sheet1 (3)'!$C:$F,4,FALSE),{"PKR","RMH","SWH","KBN"},0),"Tanah Perkampungan","Permukiman","Tanah Persawahan","Tanah Kebun")),"Tanah Pekarangan")</f>
        <v>Tanah Kebun</v>
      </c>
      <c r="O86" s="2" t="str">
        <f>IF(IFERROR(VLOOKUP(D86,'Sheet1 (3)'!$C:$G,5,FALSE),"")="K1","Pengukuran Terestris yang pemetaannya diikatkan ke peta foto","Identifikasi batas bidang tanah diatas peta foto/citra")</f>
        <v>Identifikasi batas bidang tanah diatas peta foto/citra</v>
      </c>
      <c r="P86" s="2">
        <v>0.4</v>
      </c>
      <c r="Q86" s="2"/>
    </row>
    <row r="87" spans="1:17" x14ac:dyDescent="0.25">
      <c r="A87" s="5">
        <v>86</v>
      </c>
      <c r="B87" s="5">
        <v>87</v>
      </c>
      <c r="C87" s="2">
        <v>138</v>
      </c>
      <c r="D87" s="2" t="s">
        <v>145</v>
      </c>
      <c r="E87" s="2" t="str">
        <f>IFERROR(IF(OR(VLOOKUP(D87,'Sheet1 (3)'!$C:$F,4,FALSE)="RMH",VLOOKUP(D87,'Sheet1 (3)'!$C:$F,4,FALSE)="PKR",VLOOKUP(D87,'Sheet1 (3)'!$C:$F,4,FALSE)=""),"Non Pertanian","Pertanian"),"Non Pertanian")</f>
        <v>Pertanian</v>
      </c>
      <c r="F87" s="2" t="s">
        <v>18</v>
      </c>
      <c r="G87" s="2" t="str">
        <f>IFERROR("Sesuai dengan petunjuk pemilik tanah : "&amp;VLOOKUP(D87,'Sheet1 (3)'!$C:$D,2,FALSE),"")</f>
        <v>Sesuai dengan petunjuk pemilik tanah : Kartono/samudi</v>
      </c>
      <c r="H87" s="2" t="s">
        <v>625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17</v>
      </c>
      <c r="N87" s="2" t="str">
        <f>IFERROR(IF(VLOOKUP(D87,'Sheet1 (3)'!$C:$F,4,FALSE)="","Tanah Perkampungan",CHOOSE(MATCH(VLOOKUP(D87,'Sheet1 (3)'!$C:$F,4,FALSE),{"PKR","RMH","SWH","KBN"},0),"Tanah Perkampungan","Permukiman","Tanah Persawahan","Tanah Kebun")),"Tanah Pekarangan")</f>
        <v>Tanah Kebun</v>
      </c>
      <c r="O87" s="2" t="str">
        <f>IF(IFERROR(VLOOKUP(D87,'Sheet1 (3)'!$C:$G,5,FALSE),"")="K1","Pengukuran Terestris yang pemetaannya diikatkan ke peta foto","Identifikasi batas bidang tanah diatas peta foto/citra")</f>
        <v>Identifikasi batas bidang tanah diatas peta foto/citra</v>
      </c>
      <c r="P87" s="2">
        <v>0.4</v>
      </c>
      <c r="Q87" s="2"/>
    </row>
    <row r="88" spans="1:17" x14ac:dyDescent="0.25">
      <c r="A88" s="5">
        <v>87</v>
      </c>
      <c r="B88" s="5">
        <v>88</v>
      </c>
      <c r="C88" s="2">
        <v>138</v>
      </c>
      <c r="D88" s="2" t="s">
        <v>101</v>
      </c>
      <c r="E88" s="2" t="str">
        <f>IFERROR(IF(OR(VLOOKUP(D88,'Sheet1 (3)'!$C:$F,4,FALSE)="RMH",VLOOKUP(D88,'Sheet1 (3)'!$C:$F,4,FALSE)="PKR",VLOOKUP(D88,'Sheet1 (3)'!$C:$F,4,FALSE)=""),"Non Pertanian","Pertanian"),"Non Pertanian")</f>
        <v>Pertanian</v>
      </c>
      <c r="F88" s="2" t="s">
        <v>18</v>
      </c>
      <c r="G88" s="2" t="str">
        <f>IFERROR("Sesuai dengan petunjuk pemilik tanah : "&amp;VLOOKUP(D88,'Sheet1 (3)'!$C:$D,2,FALSE),"")</f>
        <v xml:space="preserve">Sesuai dengan petunjuk pemilik tanah : Jamhur </v>
      </c>
      <c r="H88" s="2" t="s">
        <v>625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17</v>
      </c>
      <c r="N88" s="2" t="str">
        <f>IFERROR(IF(VLOOKUP(D88,'Sheet1 (3)'!$C:$F,4,FALSE)="","Tanah Perkampungan",CHOOSE(MATCH(VLOOKUP(D88,'Sheet1 (3)'!$C:$F,4,FALSE),{"PKR","RMH","SWH","KBN"},0),"Tanah Perkampungan","Permukiman","Tanah Persawahan","Tanah Kebun")),"Tanah Pekarangan")</f>
        <v>Tanah Kebun</v>
      </c>
      <c r="O88" s="2" t="str">
        <f>IF(IFERROR(VLOOKUP(D88,'Sheet1 (3)'!$C:$G,5,FALSE),"")="K1","Pengukuran Terestris yang pemetaannya diikatkan ke peta foto","Identifikasi batas bidang tanah diatas peta foto/citra")</f>
        <v>Pengukuran Terestris yang pemetaannya diikatkan ke peta foto</v>
      </c>
      <c r="P88" s="2">
        <v>0.4</v>
      </c>
      <c r="Q88" s="2"/>
    </row>
    <row r="89" spans="1:17" x14ac:dyDescent="0.25">
      <c r="A89" s="5">
        <v>88</v>
      </c>
      <c r="B89" s="5">
        <v>89</v>
      </c>
      <c r="C89" s="2">
        <v>138</v>
      </c>
      <c r="D89" s="2" t="s">
        <v>182</v>
      </c>
      <c r="E89" s="2" t="str">
        <f>IFERROR(IF(OR(VLOOKUP(D89,'Sheet1 (3)'!$C:$F,4,FALSE)="RMH",VLOOKUP(D89,'Sheet1 (3)'!$C:$F,4,FALSE)="PKR",VLOOKUP(D89,'Sheet1 (3)'!$C:$F,4,FALSE)=""),"Non Pertanian","Pertanian"),"Non Pertanian")</f>
        <v>Pertanian</v>
      </c>
      <c r="F89" s="2" t="s">
        <v>18</v>
      </c>
      <c r="G89" s="2" t="str">
        <f>IFERROR("Sesuai dengan petunjuk pemilik tanah : "&amp;VLOOKUP(D89,'Sheet1 (3)'!$C:$D,2,FALSE),"")</f>
        <v>Sesuai dengan petunjuk pemilik tanah : Maizir</v>
      </c>
      <c r="H89" s="2" t="s">
        <v>625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17</v>
      </c>
      <c r="N89" s="2" t="str">
        <f>IFERROR(IF(VLOOKUP(D89,'Sheet1 (3)'!$C:$F,4,FALSE)="","Tanah Perkampungan",CHOOSE(MATCH(VLOOKUP(D89,'Sheet1 (3)'!$C:$F,4,FALSE),{"PKR","RMH","SWH","KBN"},0),"Tanah Perkampungan","Permukiman","Tanah Persawahan","Tanah Kebun")),"Tanah Pekarangan")</f>
        <v>Tanah Kebun</v>
      </c>
      <c r="O89" s="2" t="str">
        <f>IF(IFERROR(VLOOKUP(D89,'Sheet1 (3)'!$C:$G,5,FALSE),"")="K1","Pengukuran Terestris yang pemetaannya diikatkan ke peta foto","Identifikasi batas bidang tanah diatas peta foto/citra")</f>
        <v>Identifikasi batas bidang tanah diatas peta foto/citra</v>
      </c>
      <c r="P89" s="2">
        <v>0.4</v>
      </c>
      <c r="Q89" s="2"/>
    </row>
    <row r="90" spans="1:17" x14ac:dyDescent="0.25">
      <c r="A90" s="5">
        <v>89</v>
      </c>
      <c r="B90" s="5">
        <v>90</v>
      </c>
      <c r="C90" s="2">
        <v>138</v>
      </c>
      <c r="D90" s="2" t="s">
        <v>188</v>
      </c>
      <c r="E90" s="2" t="str">
        <f>IFERROR(IF(OR(VLOOKUP(D90,'Sheet1 (3)'!$C:$F,4,FALSE)="RMH",VLOOKUP(D90,'Sheet1 (3)'!$C:$F,4,FALSE)="PKR",VLOOKUP(D90,'Sheet1 (3)'!$C:$F,4,FALSE)=""),"Non Pertanian","Pertanian"),"Non Pertanian")</f>
        <v>Pertanian</v>
      </c>
      <c r="F90" s="2" t="s">
        <v>18</v>
      </c>
      <c r="G90" s="2" t="str">
        <f>IFERROR("Sesuai dengan petunjuk pemilik tanah : "&amp;VLOOKUP(D90,'Sheet1 (3)'!$C:$D,2,FALSE),"")</f>
        <v>Sesuai dengan petunjuk pemilik tanah : Makmur</v>
      </c>
      <c r="H90" s="2" t="s">
        <v>625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17</v>
      </c>
      <c r="N90" s="2" t="str">
        <f>IFERROR(IF(VLOOKUP(D90,'Sheet1 (3)'!$C:$F,4,FALSE)="","Tanah Perkampungan",CHOOSE(MATCH(VLOOKUP(D90,'Sheet1 (3)'!$C:$F,4,FALSE),{"PKR","RMH","SWH","KBN"},0),"Tanah Perkampungan","Permukiman","Tanah Persawahan","Tanah Kebun")),"Tanah Pekarangan")</f>
        <v>Tanah Kebun</v>
      </c>
      <c r="O90" s="2" t="str">
        <f>IF(IFERROR(VLOOKUP(D90,'Sheet1 (3)'!$C:$G,5,FALSE),"")="K1","Pengukuran Terestris yang pemetaannya diikatkan ke peta foto","Identifikasi batas bidang tanah diatas peta foto/citra")</f>
        <v>Identifikasi batas bidang tanah diatas peta foto/citra</v>
      </c>
      <c r="P90" s="2">
        <v>0.4</v>
      </c>
      <c r="Q90" s="2"/>
    </row>
    <row r="91" spans="1:17" x14ac:dyDescent="0.25">
      <c r="A91" s="5">
        <v>90</v>
      </c>
      <c r="B91" s="5">
        <v>91</v>
      </c>
      <c r="C91" s="2">
        <v>138</v>
      </c>
      <c r="D91" s="2" t="s">
        <v>221</v>
      </c>
      <c r="E91" s="2" t="str">
        <f>IFERROR(IF(OR(VLOOKUP(D91,'Sheet1 (3)'!$C:$F,4,FALSE)="RMH",VLOOKUP(D91,'Sheet1 (3)'!$C:$F,4,FALSE)="PKR",VLOOKUP(D91,'Sheet1 (3)'!$C:$F,4,FALSE)=""),"Non Pertanian","Pertanian"),"Non Pertanian")</f>
        <v>Pertanian</v>
      </c>
      <c r="F91" s="2" t="s">
        <v>18</v>
      </c>
      <c r="G91" s="2" t="str">
        <f>IFERROR("Sesuai dengan petunjuk pemilik tanah : "&amp;VLOOKUP(D91,'Sheet1 (3)'!$C:$D,2,FALSE),"")</f>
        <v>Sesuai dengan petunjuk pemilik tanah : Bain</v>
      </c>
      <c r="H91" s="2" t="s">
        <v>625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17</v>
      </c>
      <c r="N91" s="2" t="str">
        <f>IFERROR(IF(VLOOKUP(D91,'Sheet1 (3)'!$C:$F,4,FALSE)="","Tanah Perkampungan",CHOOSE(MATCH(VLOOKUP(D91,'Sheet1 (3)'!$C:$F,4,FALSE),{"PKR","RMH","SWH","KBN"},0),"Tanah Perkampungan","Permukiman","Tanah Persawahan","Tanah Kebun")),"Tanah Pekarangan")</f>
        <v>Tanah Kebun</v>
      </c>
      <c r="O91" s="2" t="str">
        <f>IF(IFERROR(VLOOKUP(D91,'Sheet1 (3)'!$C:$G,5,FALSE),"")="K1","Pengukuran Terestris yang pemetaannya diikatkan ke peta foto","Identifikasi batas bidang tanah diatas peta foto/citra")</f>
        <v>Identifikasi batas bidang tanah diatas peta foto/citra</v>
      </c>
      <c r="P91" s="2">
        <v>0.4</v>
      </c>
      <c r="Q91" s="2"/>
    </row>
    <row r="92" spans="1:17" x14ac:dyDescent="0.25">
      <c r="A92" s="5">
        <v>91</v>
      </c>
      <c r="B92" s="5">
        <v>92</v>
      </c>
      <c r="C92" s="2">
        <v>138</v>
      </c>
      <c r="D92" s="2" t="s">
        <v>175</v>
      </c>
      <c r="E92" s="2" t="str">
        <f>IFERROR(IF(OR(VLOOKUP(D92,'Sheet1 (3)'!$C:$F,4,FALSE)="RMH",VLOOKUP(D92,'Sheet1 (3)'!$C:$F,4,FALSE)="PKR",VLOOKUP(D92,'Sheet1 (3)'!$C:$F,4,FALSE)=""),"Non Pertanian","Pertanian"),"Non Pertanian")</f>
        <v>Pertanian</v>
      </c>
      <c r="F92" s="2" t="s">
        <v>18</v>
      </c>
      <c r="G92" s="2" t="str">
        <f>IFERROR("Sesuai dengan petunjuk pemilik tanah : "&amp;VLOOKUP(D92,'Sheet1 (3)'!$C:$D,2,FALSE),"")</f>
        <v xml:space="preserve">Sesuai dengan petunjuk pemilik tanah : Zamhuri Noer, Amd </v>
      </c>
      <c r="H92" s="2" t="s">
        <v>625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17</v>
      </c>
      <c r="N92" s="2" t="str">
        <f>IFERROR(IF(VLOOKUP(D92,'Sheet1 (3)'!$C:$F,4,FALSE)="","Tanah Perkampungan",CHOOSE(MATCH(VLOOKUP(D92,'Sheet1 (3)'!$C:$F,4,FALSE),{"PKR","RMH","SWH","KBN"},0),"Tanah Perkampungan","Permukiman","Tanah Persawahan","Tanah Kebun")),"Tanah Pekarangan")</f>
        <v>Tanah Kebun</v>
      </c>
      <c r="O92" s="2" t="str">
        <f>IF(IFERROR(VLOOKUP(D92,'Sheet1 (3)'!$C:$G,5,FALSE),"")="K1","Pengukuran Terestris yang pemetaannya diikatkan ke peta foto","Identifikasi batas bidang tanah diatas peta foto/citra")</f>
        <v>Identifikasi batas bidang tanah diatas peta foto/citra</v>
      </c>
      <c r="P92" s="2">
        <v>0.4</v>
      </c>
      <c r="Q92" s="2"/>
    </row>
    <row r="93" spans="1:17" x14ac:dyDescent="0.25">
      <c r="A93" s="5">
        <v>92</v>
      </c>
      <c r="B93" s="5">
        <v>93</v>
      </c>
      <c r="C93" s="2">
        <v>138</v>
      </c>
      <c r="D93" s="2" t="s">
        <v>189</v>
      </c>
      <c r="E93" s="2" t="str">
        <f>IFERROR(IF(OR(VLOOKUP(D93,'Sheet1 (3)'!$C:$F,4,FALSE)="RMH",VLOOKUP(D93,'Sheet1 (3)'!$C:$F,4,FALSE)="PKR",VLOOKUP(D93,'Sheet1 (3)'!$C:$F,4,FALSE)=""),"Non Pertanian","Pertanian"),"Non Pertanian")</f>
        <v>Non Pertanian</v>
      </c>
      <c r="F93" s="2" t="s">
        <v>18</v>
      </c>
      <c r="G93" s="2" t="str">
        <f>IFERROR("Sesuai dengan petunjuk pemilik tanah : "&amp;VLOOKUP(D93,'Sheet1 (3)'!$C:$D,2,FALSE),"")</f>
        <v>Sesuai dengan petunjuk pemilik tanah : Saluran Air</v>
      </c>
      <c r="H93" s="2" t="s">
        <v>625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17</v>
      </c>
      <c r="N93" s="2" t="str">
        <f>IFERROR(IF(VLOOKUP(D93,'Sheet1 (3)'!$C:$F,4,FALSE)="","Tanah Perkampungan",CHOOSE(MATCH(VLOOKUP(D93,'Sheet1 (3)'!$C:$F,4,FALSE),{"PKR","RMH","SWH","KBN"},0),"Tanah Perkampungan","Permukiman","Tanah Persawahan","Tanah Kebun")),"Tanah Pekarangan")</f>
        <v>Tanah Perkampungan</v>
      </c>
      <c r="O93" s="2" t="str">
        <f>IF(IFERROR(VLOOKUP(D93,'Sheet1 (3)'!$C:$G,5,FALSE),"")="K1","Pengukuran Terestris yang pemetaannya diikatkan ke peta foto","Identifikasi batas bidang tanah diatas peta foto/citra")</f>
        <v>Identifikasi batas bidang tanah diatas peta foto/citra</v>
      </c>
      <c r="P93" s="2">
        <v>0.4</v>
      </c>
      <c r="Q93" s="2"/>
    </row>
    <row r="94" spans="1:17" x14ac:dyDescent="0.25">
      <c r="A94" s="5">
        <v>93</v>
      </c>
      <c r="B94" s="5">
        <v>94</v>
      </c>
      <c r="C94" s="2">
        <v>138</v>
      </c>
      <c r="D94" s="2" t="s">
        <v>124</v>
      </c>
      <c r="E94" s="2" t="str">
        <f>IFERROR(IF(OR(VLOOKUP(D94,'Sheet1 (3)'!$C:$F,4,FALSE)="RMH",VLOOKUP(D94,'Sheet1 (3)'!$C:$F,4,FALSE)="PKR",VLOOKUP(D94,'Sheet1 (3)'!$C:$F,4,FALSE)=""),"Non Pertanian","Pertanian"),"Non Pertanian")</f>
        <v>Pertanian</v>
      </c>
      <c r="F94" s="2" t="s">
        <v>18</v>
      </c>
      <c r="G94" s="2" t="str">
        <f>IFERROR("Sesuai dengan petunjuk pemilik tanah : "&amp;VLOOKUP(D94,'Sheet1 (3)'!$C:$D,2,FALSE),"")</f>
        <v xml:space="preserve">Sesuai dengan petunjuk pemilik tanah : Dina Uswatun Hasanah </v>
      </c>
      <c r="H94" s="2" t="s">
        <v>625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17</v>
      </c>
      <c r="N94" s="2" t="str">
        <f>IFERROR(IF(VLOOKUP(D94,'Sheet1 (3)'!$C:$F,4,FALSE)="","Tanah Perkampungan",CHOOSE(MATCH(VLOOKUP(D94,'Sheet1 (3)'!$C:$F,4,FALSE),{"PKR","RMH","SWH","KBN"},0),"Tanah Perkampungan","Permukiman","Tanah Persawahan","Tanah Kebun")),"Tanah Pekarangan")</f>
        <v>Tanah Kebun</v>
      </c>
      <c r="O94" s="2" t="str">
        <f>IF(IFERROR(VLOOKUP(D94,'Sheet1 (3)'!$C:$G,5,FALSE),"")="K1","Pengukuran Terestris yang pemetaannya diikatkan ke peta foto","Identifikasi batas bidang tanah diatas peta foto/citra")</f>
        <v>Pengukuran Terestris yang pemetaannya diikatkan ke peta foto</v>
      </c>
      <c r="P94" s="2">
        <v>0.4</v>
      </c>
      <c r="Q94" s="2"/>
    </row>
    <row r="95" spans="1:17" x14ac:dyDescent="0.25">
      <c r="A95" s="5">
        <v>94</v>
      </c>
      <c r="B95" s="5">
        <v>95</v>
      </c>
      <c r="C95" s="2">
        <v>138</v>
      </c>
      <c r="D95" s="2" t="s">
        <v>215</v>
      </c>
      <c r="E95" s="2" t="str">
        <f>IFERROR(IF(OR(VLOOKUP(D95,'Sheet1 (3)'!$C:$F,4,FALSE)="RMH",VLOOKUP(D95,'Sheet1 (3)'!$C:$F,4,FALSE)="PKR",VLOOKUP(D95,'Sheet1 (3)'!$C:$F,4,FALSE)=""),"Non Pertanian","Pertanian"),"Non Pertanian")</f>
        <v>Non Pertanian</v>
      </c>
      <c r="F95" s="2" t="s">
        <v>18</v>
      </c>
      <c r="G95" s="2" t="str">
        <f>IFERROR("Sesuai dengan petunjuk pemilik tanah : "&amp;VLOOKUP(D95,'Sheet1 (3)'!$C:$D,2,FALSE),"")</f>
        <v>Sesuai dengan petunjuk pemilik tanah : Jalan</v>
      </c>
      <c r="H95" s="2" t="s">
        <v>625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17</v>
      </c>
      <c r="N95" s="2" t="str">
        <f>IFERROR(IF(VLOOKUP(D95,'Sheet1 (3)'!$C:$F,4,FALSE)="","Tanah Perkampungan",CHOOSE(MATCH(VLOOKUP(D95,'Sheet1 (3)'!$C:$F,4,FALSE),{"PKR","RMH","SWH","KBN"},0),"Tanah Perkampungan","Permukiman","Tanah Persawahan","Tanah Kebun")),"Tanah Pekarangan")</f>
        <v>Tanah Perkampungan</v>
      </c>
      <c r="O95" s="2" t="str">
        <f>IF(IFERROR(VLOOKUP(D95,'Sheet1 (3)'!$C:$G,5,FALSE),"")="K1","Pengukuran Terestris yang pemetaannya diikatkan ke peta foto","Identifikasi batas bidang tanah diatas peta foto/citra")</f>
        <v>Identifikasi batas bidang tanah diatas peta foto/citra</v>
      </c>
      <c r="P95" s="2">
        <v>0.4</v>
      </c>
      <c r="Q95" s="2"/>
    </row>
    <row r="96" spans="1:17" x14ac:dyDescent="0.25">
      <c r="A96" s="5">
        <v>95</v>
      </c>
      <c r="B96" s="5">
        <v>96</v>
      </c>
      <c r="C96" s="2">
        <v>138</v>
      </c>
      <c r="D96" s="2" t="s">
        <v>76</v>
      </c>
      <c r="E96" s="2" t="str">
        <f>IFERROR(IF(OR(VLOOKUP(D96,'Sheet1 (3)'!$C:$F,4,FALSE)="RMH",VLOOKUP(D96,'Sheet1 (3)'!$C:$F,4,FALSE)="PKR",VLOOKUP(D96,'Sheet1 (3)'!$C:$F,4,FALSE)=""),"Non Pertanian","Pertanian"),"Non Pertanian")</f>
        <v>Non Pertanian</v>
      </c>
      <c r="F96" s="2" t="s">
        <v>18</v>
      </c>
      <c r="G96" s="2" t="str">
        <f>IFERROR("Sesuai dengan petunjuk pemilik tanah : "&amp;VLOOKUP(D96,'Sheet1 (3)'!$C:$D,2,FALSE),"")</f>
        <v>Sesuai dengan petunjuk pemilik tanah : Saluran Air</v>
      </c>
      <c r="H96" s="2" t="s">
        <v>625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17</v>
      </c>
      <c r="N96" s="2" t="str">
        <f>IFERROR(IF(VLOOKUP(D96,'Sheet1 (3)'!$C:$F,4,FALSE)="","Tanah Perkampungan",CHOOSE(MATCH(VLOOKUP(D96,'Sheet1 (3)'!$C:$F,4,FALSE),{"PKR","RMH","SWH","KBN"},0),"Tanah Perkampungan","Permukiman","Tanah Persawahan","Tanah Kebun")),"Tanah Pekarangan")</f>
        <v>Tanah Perkampungan</v>
      </c>
      <c r="O96" s="2" t="str">
        <f>IF(IFERROR(VLOOKUP(D96,'Sheet1 (3)'!$C:$G,5,FALSE),"")="K1","Pengukuran Terestris yang pemetaannya diikatkan ke peta foto","Identifikasi batas bidang tanah diatas peta foto/citra")</f>
        <v>Identifikasi batas bidang tanah diatas peta foto/citra</v>
      </c>
      <c r="P96" s="2">
        <v>0.4</v>
      </c>
      <c r="Q96" s="2"/>
    </row>
    <row r="97" spans="1:17" x14ac:dyDescent="0.25">
      <c r="A97" s="5">
        <v>96</v>
      </c>
      <c r="B97" s="5">
        <v>97</v>
      </c>
      <c r="C97" s="2">
        <v>138</v>
      </c>
      <c r="D97" s="2" t="s">
        <v>120</v>
      </c>
      <c r="E97" s="2" t="str">
        <f>IFERROR(IF(OR(VLOOKUP(D97,'Sheet1 (3)'!$C:$F,4,FALSE)="RMH",VLOOKUP(D97,'Sheet1 (3)'!$C:$F,4,FALSE)="PKR",VLOOKUP(D97,'Sheet1 (3)'!$C:$F,4,FALSE)=""),"Non Pertanian","Pertanian"),"Non Pertanian")</f>
        <v>Pertanian</v>
      </c>
      <c r="F97" s="2" t="s">
        <v>18</v>
      </c>
      <c r="G97" s="2" t="str">
        <f>IFERROR("Sesuai dengan petunjuk pemilik tanah : "&amp;VLOOKUP(D97,'Sheet1 (3)'!$C:$D,2,FALSE),"")</f>
        <v xml:space="preserve">Sesuai dengan petunjuk pemilik tanah : Husban, S.pd.i </v>
      </c>
      <c r="H97" s="2" t="s">
        <v>625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17</v>
      </c>
      <c r="N97" s="2" t="str">
        <f>IFERROR(IF(VLOOKUP(D97,'Sheet1 (3)'!$C:$F,4,FALSE)="","Tanah Perkampungan",CHOOSE(MATCH(VLOOKUP(D97,'Sheet1 (3)'!$C:$F,4,FALSE),{"PKR","RMH","SWH","KBN"},0),"Tanah Perkampungan","Permukiman","Tanah Persawahan","Tanah Kebun")),"Tanah Pekarangan")</f>
        <v>Tanah Kebun</v>
      </c>
      <c r="O97" s="2" t="str">
        <f>IF(IFERROR(VLOOKUP(D97,'Sheet1 (3)'!$C:$G,5,FALSE),"")="K1","Pengukuran Terestris yang pemetaannya diikatkan ke peta foto","Identifikasi batas bidang tanah diatas peta foto/citra")</f>
        <v>Identifikasi batas bidang tanah diatas peta foto/citra</v>
      </c>
      <c r="P97" s="2">
        <v>0.4</v>
      </c>
      <c r="Q97" s="2"/>
    </row>
    <row r="98" spans="1:17" x14ac:dyDescent="0.25">
      <c r="A98" s="5">
        <v>97</v>
      </c>
      <c r="B98" s="5">
        <v>98</v>
      </c>
      <c r="C98" s="2">
        <v>138</v>
      </c>
      <c r="D98" s="2" t="s">
        <v>41</v>
      </c>
      <c r="E98" s="2" t="str">
        <f>IFERROR(IF(OR(VLOOKUP(D98,'Sheet1 (3)'!$C:$F,4,FALSE)="RMH",VLOOKUP(D98,'Sheet1 (3)'!$C:$F,4,FALSE)="PKR",VLOOKUP(D98,'Sheet1 (3)'!$C:$F,4,FALSE)=""),"Non Pertanian","Pertanian"),"Non Pertanian")</f>
        <v>Pertanian</v>
      </c>
      <c r="F98" s="2" t="s">
        <v>18</v>
      </c>
      <c r="G98" s="2" t="str">
        <f>IFERROR("Sesuai dengan petunjuk pemilik tanah : "&amp;VLOOKUP(D98,'Sheet1 (3)'!$C:$D,2,FALSE),"")</f>
        <v>Sesuai dengan petunjuk pemilik tanah : Abdiah</v>
      </c>
      <c r="H98" s="2" t="s">
        <v>625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17</v>
      </c>
      <c r="N98" s="2" t="str">
        <f>IFERROR(IF(VLOOKUP(D98,'Sheet1 (3)'!$C:$F,4,FALSE)="","Tanah Perkampungan",CHOOSE(MATCH(VLOOKUP(D98,'Sheet1 (3)'!$C:$F,4,FALSE),{"PKR","RMH","SWH","KBN"},0),"Tanah Perkampungan","Permukiman","Tanah Persawahan","Tanah Kebun")),"Tanah Pekarangan")</f>
        <v>Tanah Kebun</v>
      </c>
      <c r="O98" s="2" t="str">
        <f>IF(IFERROR(VLOOKUP(D98,'Sheet1 (3)'!$C:$G,5,FALSE),"")="K1","Pengukuran Terestris yang pemetaannya diikatkan ke peta foto","Identifikasi batas bidang tanah diatas peta foto/citra")</f>
        <v>Identifikasi batas bidang tanah diatas peta foto/citra</v>
      </c>
      <c r="P98" s="2">
        <v>0.4</v>
      </c>
      <c r="Q98" s="2"/>
    </row>
    <row r="99" spans="1:17" x14ac:dyDescent="0.25">
      <c r="A99" s="5">
        <v>98</v>
      </c>
      <c r="B99" s="5">
        <v>99</v>
      </c>
      <c r="C99" s="2">
        <v>138</v>
      </c>
      <c r="D99" s="2" t="s">
        <v>204</v>
      </c>
      <c r="E99" s="2" t="str">
        <f>IFERROR(IF(OR(VLOOKUP(D99,'Sheet1 (3)'!$C:$F,4,FALSE)="RMH",VLOOKUP(D99,'Sheet1 (3)'!$C:$F,4,FALSE)="PKR",VLOOKUP(D99,'Sheet1 (3)'!$C:$F,4,FALSE)=""),"Non Pertanian","Pertanian"),"Non Pertanian")</f>
        <v>Pertanian</v>
      </c>
      <c r="F99" s="2" t="s">
        <v>18</v>
      </c>
      <c r="G99" s="2" t="str">
        <f>IFERROR("Sesuai dengan petunjuk pemilik tanah : "&amp;VLOOKUP(D99,'Sheet1 (3)'!$C:$D,2,FALSE),"")</f>
        <v>Sesuai dengan petunjuk pemilik tanah : Ita Lestari</v>
      </c>
      <c r="H99" s="2" t="s">
        <v>625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17</v>
      </c>
      <c r="N99" s="2" t="str">
        <f>IFERROR(IF(VLOOKUP(D99,'Sheet1 (3)'!$C:$F,4,FALSE)="","Tanah Perkampungan",CHOOSE(MATCH(VLOOKUP(D99,'Sheet1 (3)'!$C:$F,4,FALSE),{"PKR","RMH","SWH","KBN"},0),"Tanah Perkampungan","Permukiman","Tanah Persawahan","Tanah Kebun")),"Tanah Pekarangan")</f>
        <v>Tanah Kebun</v>
      </c>
      <c r="O99" s="2" t="str">
        <f>IF(IFERROR(VLOOKUP(D99,'Sheet1 (3)'!$C:$G,5,FALSE),"")="K1","Pengukuran Terestris yang pemetaannya diikatkan ke peta foto","Identifikasi batas bidang tanah diatas peta foto/citra")</f>
        <v>Identifikasi batas bidang tanah diatas peta foto/citra</v>
      </c>
      <c r="P99" s="2">
        <v>0.4</v>
      </c>
      <c r="Q99" s="2"/>
    </row>
    <row r="100" spans="1:17" x14ac:dyDescent="0.25">
      <c r="A100" s="5">
        <v>99</v>
      </c>
      <c r="B100" s="5">
        <v>100</v>
      </c>
      <c r="C100" s="2">
        <v>138</v>
      </c>
      <c r="D100" s="2" t="s">
        <v>202</v>
      </c>
      <c r="E100" s="2" t="str">
        <f>IFERROR(IF(OR(VLOOKUP(D100,'Sheet1 (3)'!$C:$F,4,FALSE)="RMH",VLOOKUP(D100,'Sheet1 (3)'!$C:$F,4,FALSE)="PKR",VLOOKUP(D100,'Sheet1 (3)'!$C:$F,4,FALSE)=""),"Non Pertanian","Pertanian"),"Non Pertanian")</f>
        <v>Pertanian</v>
      </c>
      <c r="F100" s="2" t="s">
        <v>18</v>
      </c>
      <c r="G100" s="2" t="str">
        <f>IFERROR("Sesuai dengan petunjuk pemilik tanah : "&amp;VLOOKUP(D100,'Sheet1 (3)'!$C:$D,2,FALSE),"")</f>
        <v>Sesuai dengan petunjuk pemilik tanah : Hikmah</v>
      </c>
      <c r="H100" s="2" t="s">
        <v>625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17</v>
      </c>
      <c r="N100" s="2" t="str">
        <f>IFERROR(IF(VLOOKUP(D100,'Sheet1 (3)'!$C:$F,4,FALSE)="","Tanah Perkampungan",CHOOSE(MATCH(VLOOKUP(D100,'Sheet1 (3)'!$C:$F,4,FALSE),{"PKR","RMH","SWH","KBN"},0),"Tanah Perkampungan","Permukiman","Tanah Persawahan","Tanah Kebun")),"Tanah Pekarangan")</f>
        <v>Tanah Kebun</v>
      </c>
      <c r="O100" s="2" t="str">
        <f>IF(IFERROR(VLOOKUP(D100,'Sheet1 (3)'!$C:$G,5,FALSE),"")="K1","Pengukuran Terestris yang pemetaannya diikatkan ke peta foto","Identifikasi batas bidang tanah diatas peta foto/citra")</f>
        <v>Pengukuran Terestris yang pemetaannya diikatkan ke peta foto</v>
      </c>
      <c r="P100" s="2">
        <v>0.4</v>
      </c>
      <c r="Q100" s="2"/>
    </row>
    <row r="101" spans="1:17" x14ac:dyDescent="0.25">
      <c r="A101" s="5">
        <v>100</v>
      </c>
      <c r="B101" s="5">
        <v>101</v>
      </c>
      <c r="C101" s="2">
        <v>138</v>
      </c>
      <c r="D101" s="2" t="s">
        <v>162</v>
      </c>
      <c r="E101" s="2" t="str">
        <f>IFERROR(IF(OR(VLOOKUP(D101,'Sheet1 (3)'!$C:$F,4,FALSE)="RMH",VLOOKUP(D101,'Sheet1 (3)'!$C:$F,4,FALSE)="PKR",VLOOKUP(D101,'Sheet1 (3)'!$C:$F,4,FALSE)=""),"Non Pertanian","Pertanian"),"Non Pertanian")</f>
        <v>Pertanian</v>
      </c>
      <c r="F101" s="2" t="s">
        <v>18</v>
      </c>
      <c r="G101" s="2" t="str">
        <f>IFERROR("Sesuai dengan petunjuk pemilik tanah : "&amp;VLOOKUP(D101,'Sheet1 (3)'!$C:$D,2,FALSE),"")</f>
        <v>Sesuai dengan petunjuk pemilik tanah : Makmur</v>
      </c>
      <c r="H101" s="2" t="s">
        <v>625</v>
      </c>
      <c r="I101" s="2" t="s">
        <v>16</v>
      </c>
      <c r="J101" s="2" t="s">
        <v>16</v>
      </c>
      <c r="K101" s="2" t="s">
        <v>16</v>
      </c>
      <c r="L101" s="2" t="s">
        <v>16</v>
      </c>
      <c r="M101" s="2" t="s">
        <v>17</v>
      </c>
      <c r="N101" s="2" t="str">
        <f>IFERROR(IF(VLOOKUP(D101,'Sheet1 (3)'!$C:$F,4,FALSE)="","Tanah Perkampungan",CHOOSE(MATCH(VLOOKUP(D101,'Sheet1 (3)'!$C:$F,4,FALSE),{"PKR","RMH","SWH","KBN"},0),"Tanah Perkampungan","Permukiman","Tanah Persawahan","Tanah Kebun")),"Tanah Pekarangan")</f>
        <v>Tanah Kebun</v>
      </c>
      <c r="O101" s="2" t="str">
        <f>IF(IFERROR(VLOOKUP(D101,'Sheet1 (3)'!$C:$G,5,FALSE),"")="K1","Pengukuran Terestris yang pemetaannya diikatkan ke peta foto","Identifikasi batas bidang tanah diatas peta foto/citra")</f>
        <v>Identifikasi batas bidang tanah diatas peta foto/citra</v>
      </c>
      <c r="P101" s="2">
        <v>0.4</v>
      </c>
      <c r="Q101" s="2"/>
    </row>
    <row r="102" spans="1:17" x14ac:dyDescent="0.25">
      <c r="A102" s="5">
        <v>101</v>
      </c>
      <c r="B102" s="5">
        <v>102</v>
      </c>
      <c r="C102" s="2">
        <v>138</v>
      </c>
      <c r="D102" s="2" t="s">
        <v>82</v>
      </c>
      <c r="E102" s="2" t="str">
        <f>IFERROR(IF(OR(VLOOKUP(D102,'Sheet1 (3)'!$C:$F,4,FALSE)="RMH",VLOOKUP(D102,'Sheet1 (3)'!$C:$F,4,FALSE)="PKR",VLOOKUP(D102,'Sheet1 (3)'!$C:$F,4,FALSE)=""),"Non Pertanian","Pertanian"),"Non Pertanian")</f>
        <v>Pertanian</v>
      </c>
      <c r="F102" s="2" t="s">
        <v>18</v>
      </c>
      <c r="G102" s="2" t="str">
        <f>IFERROR("Sesuai dengan petunjuk pemilik tanah : "&amp;VLOOKUP(D102,'Sheet1 (3)'!$C:$D,2,FALSE),"")</f>
        <v>Sesuai dengan petunjuk pemilik tanah : Ridwan</v>
      </c>
      <c r="H102" s="2" t="s">
        <v>625</v>
      </c>
      <c r="I102" s="2" t="s">
        <v>16</v>
      </c>
      <c r="J102" s="2" t="s">
        <v>16</v>
      </c>
      <c r="K102" s="2" t="s">
        <v>16</v>
      </c>
      <c r="L102" s="2" t="s">
        <v>16</v>
      </c>
      <c r="M102" s="2" t="s">
        <v>17</v>
      </c>
      <c r="N102" s="2" t="str">
        <f>IFERROR(IF(VLOOKUP(D102,'Sheet1 (3)'!$C:$F,4,FALSE)="","Tanah Perkampungan",CHOOSE(MATCH(VLOOKUP(D102,'Sheet1 (3)'!$C:$F,4,FALSE),{"PKR","RMH","SWH","KBN"},0),"Tanah Perkampungan","Permukiman","Tanah Persawahan","Tanah Kebun")),"Tanah Pekarangan")</f>
        <v>Tanah Kebun</v>
      </c>
      <c r="O102" s="2" t="str">
        <f>IF(IFERROR(VLOOKUP(D102,'Sheet1 (3)'!$C:$G,5,FALSE),"")="K1","Pengukuran Terestris yang pemetaannya diikatkan ke peta foto","Identifikasi batas bidang tanah diatas peta foto/citra")</f>
        <v>Identifikasi batas bidang tanah diatas peta foto/citra</v>
      </c>
      <c r="P102" s="2">
        <v>0.4</v>
      </c>
      <c r="Q102" s="2"/>
    </row>
    <row r="103" spans="1:17" x14ac:dyDescent="0.25">
      <c r="A103" s="5">
        <v>102</v>
      </c>
      <c r="B103" s="5">
        <v>103</v>
      </c>
      <c r="C103" s="2">
        <v>138</v>
      </c>
      <c r="D103" s="2" t="s">
        <v>214</v>
      </c>
      <c r="E103" s="2" t="str">
        <f>IFERROR(IF(OR(VLOOKUP(D103,'Sheet1 (3)'!$C:$F,4,FALSE)="RMH",VLOOKUP(D103,'Sheet1 (3)'!$C:$F,4,FALSE)="PKR",VLOOKUP(D103,'Sheet1 (3)'!$C:$F,4,FALSE)=""),"Non Pertanian","Pertanian"),"Non Pertanian")</f>
        <v>Pertanian</v>
      </c>
      <c r="F103" s="2" t="s">
        <v>18</v>
      </c>
      <c r="G103" s="2" t="str">
        <f>IFERROR("Sesuai dengan petunjuk pemilik tanah : "&amp;VLOOKUP(D103,'Sheet1 (3)'!$C:$D,2,FALSE),"")</f>
        <v xml:space="preserve">Sesuai dengan petunjuk pemilik tanah : Aslia </v>
      </c>
      <c r="H103" s="2" t="s">
        <v>625</v>
      </c>
      <c r="I103" s="2" t="s">
        <v>16</v>
      </c>
      <c r="J103" s="2" t="s">
        <v>16</v>
      </c>
      <c r="K103" s="2" t="s">
        <v>16</v>
      </c>
      <c r="L103" s="2" t="s">
        <v>16</v>
      </c>
      <c r="M103" s="2" t="s">
        <v>17</v>
      </c>
      <c r="N103" s="2" t="str">
        <f>IFERROR(IF(VLOOKUP(D103,'Sheet1 (3)'!$C:$F,4,FALSE)="","Tanah Perkampungan",CHOOSE(MATCH(VLOOKUP(D103,'Sheet1 (3)'!$C:$F,4,FALSE),{"PKR","RMH","SWH","KBN"},0),"Tanah Perkampungan","Permukiman","Tanah Persawahan","Tanah Kebun")),"Tanah Pekarangan")</f>
        <v>Tanah Kebun</v>
      </c>
      <c r="O103" s="2" t="str">
        <f>IF(IFERROR(VLOOKUP(D103,'Sheet1 (3)'!$C:$G,5,FALSE),"")="K1","Pengukuran Terestris yang pemetaannya diikatkan ke peta foto","Identifikasi batas bidang tanah diatas peta foto/citra")</f>
        <v>Pengukuran Terestris yang pemetaannya diikatkan ke peta foto</v>
      </c>
      <c r="P103" s="2">
        <v>0.4</v>
      </c>
      <c r="Q103" s="2"/>
    </row>
    <row r="104" spans="1:17" x14ac:dyDescent="0.25">
      <c r="A104" s="5">
        <v>103</v>
      </c>
      <c r="B104" s="5">
        <v>104</v>
      </c>
      <c r="C104" s="2">
        <v>138</v>
      </c>
      <c r="D104" s="2" t="s">
        <v>157</v>
      </c>
      <c r="E104" s="2" t="str">
        <f>IFERROR(IF(OR(VLOOKUP(D104,'Sheet1 (3)'!$C:$F,4,FALSE)="RMH",VLOOKUP(D104,'Sheet1 (3)'!$C:$F,4,FALSE)="PKR",VLOOKUP(D104,'Sheet1 (3)'!$C:$F,4,FALSE)=""),"Non Pertanian","Pertanian"),"Non Pertanian")</f>
        <v>Pertanian</v>
      </c>
      <c r="F104" s="2" t="s">
        <v>18</v>
      </c>
      <c r="G104" s="2" t="str">
        <f>IFERROR("Sesuai dengan petunjuk pemilik tanah : "&amp;VLOOKUP(D104,'Sheet1 (3)'!$C:$D,2,FALSE),"")</f>
        <v>Sesuai dengan petunjuk pemilik tanah : Samsudi</v>
      </c>
      <c r="H104" s="2" t="s">
        <v>625</v>
      </c>
      <c r="I104" s="2" t="s">
        <v>16</v>
      </c>
      <c r="J104" s="2" t="s">
        <v>16</v>
      </c>
      <c r="K104" s="2" t="s">
        <v>16</v>
      </c>
      <c r="L104" s="2" t="s">
        <v>16</v>
      </c>
      <c r="M104" s="2" t="s">
        <v>17</v>
      </c>
      <c r="N104" s="2" t="str">
        <f>IFERROR(IF(VLOOKUP(D104,'Sheet1 (3)'!$C:$F,4,FALSE)="","Tanah Perkampungan",CHOOSE(MATCH(VLOOKUP(D104,'Sheet1 (3)'!$C:$F,4,FALSE),{"PKR","RMH","SWH","KBN"},0),"Tanah Perkampungan","Permukiman","Tanah Persawahan","Tanah Kebun")),"Tanah Pekarangan")</f>
        <v>Tanah Kebun</v>
      </c>
      <c r="O104" s="2" t="str">
        <f>IF(IFERROR(VLOOKUP(D104,'Sheet1 (3)'!$C:$G,5,FALSE),"")="K1","Pengukuran Terestris yang pemetaannya diikatkan ke peta foto","Identifikasi batas bidang tanah diatas peta foto/citra")</f>
        <v>Identifikasi batas bidang tanah diatas peta foto/citra</v>
      </c>
      <c r="P104" s="2">
        <v>0.4</v>
      </c>
      <c r="Q104" s="2"/>
    </row>
    <row r="105" spans="1:17" x14ac:dyDescent="0.25">
      <c r="A105" s="5">
        <v>104</v>
      </c>
      <c r="B105" s="5">
        <v>105</v>
      </c>
      <c r="C105" s="2">
        <v>138</v>
      </c>
      <c r="D105" s="2" t="s">
        <v>154</v>
      </c>
      <c r="E105" s="2" t="str">
        <f>IFERROR(IF(OR(VLOOKUP(D105,'Sheet1 (3)'!$C:$F,4,FALSE)="RMH",VLOOKUP(D105,'Sheet1 (3)'!$C:$F,4,FALSE)="PKR",VLOOKUP(D105,'Sheet1 (3)'!$C:$F,4,FALSE)=""),"Non Pertanian","Pertanian"),"Non Pertanian")</f>
        <v>Pertanian</v>
      </c>
      <c r="F105" s="2" t="s">
        <v>18</v>
      </c>
      <c r="G105" s="2" t="str">
        <f>IFERROR("Sesuai dengan petunjuk pemilik tanah : "&amp;VLOOKUP(D105,'Sheet1 (3)'!$C:$D,2,FALSE),"")</f>
        <v xml:space="preserve">Sesuai dengan petunjuk pemilik tanah : Yusran, Sp </v>
      </c>
      <c r="H105" s="2" t="s">
        <v>625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17</v>
      </c>
      <c r="N105" s="2" t="str">
        <f>IFERROR(IF(VLOOKUP(D105,'Sheet1 (3)'!$C:$F,4,FALSE)="","Tanah Perkampungan",CHOOSE(MATCH(VLOOKUP(D105,'Sheet1 (3)'!$C:$F,4,FALSE),{"PKR","RMH","SWH","KBN"},0),"Tanah Perkampungan","Permukiman","Tanah Persawahan","Tanah Kebun")),"Tanah Pekarangan")</f>
        <v>Tanah Kebun</v>
      </c>
      <c r="O105" s="2" t="str">
        <f>IF(IFERROR(VLOOKUP(D105,'Sheet1 (3)'!$C:$G,5,FALSE),"")="K1","Pengukuran Terestris yang pemetaannya diikatkan ke peta foto","Identifikasi batas bidang tanah diatas peta foto/citra")</f>
        <v>Pengukuran Terestris yang pemetaannya diikatkan ke peta foto</v>
      </c>
      <c r="P105" s="2">
        <v>0.4</v>
      </c>
      <c r="Q105" s="2"/>
    </row>
    <row r="106" spans="1:17" x14ac:dyDescent="0.25">
      <c r="A106" s="5">
        <v>105</v>
      </c>
      <c r="B106" s="5">
        <v>106</v>
      </c>
      <c r="C106" s="2">
        <v>138</v>
      </c>
      <c r="D106" s="2" t="s">
        <v>112</v>
      </c>
      <c r="E106" s="2" t="str">
        <f>IFERROR(IF(OR(VLOOKUP(D106,'Sheet1 (3)'!$C:$F,4,FALSE)="RMH",VLOOKUP(D106,'Sheet1 (3)'!$C:$F,4,FALSE)="PKR",VLOOKUP(D106,'Sheet1 (3)'!$C:$F,4,FALSE)=""),"Non Pertanian","Pertanian"),"Non Pertanian")</f>
        <v>Pertanian</v>
      </c>
      <c r="F106" s="2" t="s">
        <v>18</v>
      </c>
      <c r="G106" s="2" t="str">
        <f>IFERROR("Sesuai dengan petunjuk pemilik tanah : "&amp;VLOOKUP(D106,'Sheet1 (3)'!$C:$D,2,FALSE),"")</f>
        <v>Sesuai dengan petunjuk pemilik tanah : Karno</v>
      </c>
      <c r="H106" s="2" t="s">
        <v>625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17</v>
      </c>
      <c r="N106" s="2" t="str">
        <f>IFERROR(IF(VLOOKUP(D106,'Sheet1 (3)'!$C:$F,4,FALSE)="","Tanah Perkampungan",CHOOSE(MATCH(VLOOKUP(D106,'Sheet1 (3)'!$C:$F,4,FALSE),{"PKR","RMH","SWH","KBN"},0),"Tanah Perkampungan","Permukiman","Tanah Persawahan","Tanah Kebun")),"Tanah Pekarangan")</f>
        <v>Tanah Kebun</v>
      </c>
      <c r="O106" s="2" t="str">
        <f>IF(IFERROR(VLOOKUP(D106,'Sheet1 (3)'!$C:$G,5,FALSE),"")="K1","Pengukuran Terestris yang pemetaannya diikatkan ke peta foto","Identifikasi batas bidang tanah diatas peta foto/citra")</f>
        <v>Pengukuran Terestris yang pemetaannya diikatkan ke peta foto</v>
      </c>
      <c r="P106" s="2">
        <v>0.4</v>
      </c>
      <c r="Q106" s="2"/>
    </row>
    <row r="107" spans="1:17" x14ac:dyDescent="0.25">
      <c r="A107" s="5">
        <v>106</v>
      </c>
      <c r="B107" s="5">
        <v>107</v>
      </c>
      <c r="C107" s="2">
        <v>138</v>
      </c>
      <c r="D107" s="2" t="s">
        <v>115</v>
      </c>
      <c r="E107" s="2" t="str">
        <f>IFERROR(IF(OR(VLOOKUP(D107,'Sheet1 (3)'!$C:$F,4,FALSE)="RMH",VLOOKUP(D107,'Sheet1 (3)'!$C:$F,4,FALSE)="PKR",VLOOKUP(D107,'Sheet1 (3)'!$C:$F,4,FALSE)=""),"Non Pertanian","Pertanian"),"Non Pertanian")</f>
        <v>Pertanian</v>
      </c>
      <c r="F107" s="2" t="s">
        <v>18</v>
      </c>
      <c r="G107" s="2" t="str">
        <f>IFERROR("Sesuai dengan petunjuk pemilik tanah : "&amp;VLOOKUP(D107,'Sheet1 (3)'!$C:$D,2,FALSE),"")</f>
        <v>Sesuai dengan petunjuk pemilik tanah : Samsunah</v>
      </c>
      <c r="H107" s="2" t="s">
        <v>625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17</v>
      </c>
      <c r="N107" s="2" t="str">
        <f>IFERROR(IF(VLOOKUP(D107,'Sheet1 (3)'!$C:$F,4,FALSE)="","Tanah Perkampungan",CHOOSE(MATCH(VLOOKUP(D107,'Sheet1 (3)'!$C:$F,4,FALSE),{"PKR","RMH","SWH","KBN"},0),"Tanah Perkampungan","Permukiman","Tanah Persawahan","Tanah Kebun")),"Tanah Pekarangan")</f>
        <v>Tanah Kebun</v>
      </c>
      <c r="O107" s="2" t="str">
        <f>IF(IFERROR(VLOOKUP(D107,'Sheet1 (3)'!$C:$G,5,FALSE),"")="K1","Pengukuran Terestris yang pemetaannya diikatkan ke peta foto","Identifikasi batas bidang tanah diatas peta foto/citra")</f>
        <v>Identifikasi batas bidang tanah diatas peta foto/citra</v>
      </c>
      <c r="P107" s="2">
        <v>0.4</v>
      </c>
      <c r="Q107" s="2"/>
    </row>
    <row r="108" spans="1:17" x14ac:dyDescent="0.25">
      <c r="A108" s="5">
        <v>107</v>
      </c>
      <c r="B108" s="5">
        <v>108</v>
      </c>
      <c r="C108" s="2">
        <v>138</v>
      </c>
      <c r="D108" s="2" t="s">
        <v>125</v>
      </c>
      <c r="E108" s="2" t="str">
        <f>IFERROR(IF(OR(VLOOKUP(D108,'Sheet1 (3)'!$C:$F,4,FALSE)="RMH",VLOOKUP(D108,'Sheet1 (3)'!$C:$F,4,FALSE)="PKR",VLOOKUP(D108,'Sheet1 (3)'!$C:$F,4,FALSE)=""),"Non Pertanian","Pertanian"),"Non Pertanian")</f>
        <v>Pertanian</v>
      </c>
      <c r="F108" s="2" t="s">
        <v>18</v>
      </c>
      <c r="G108" s="2" t="str">
        <f>IFERROR("Sesuai dengan petunjuk pemilik tanah : "&amp;VLOOKUP(D108,'Sheet1 (3)'!$C:$D,2,FALSE),"")</f>
        <v>Sesuai dengan petunjuk pemilik tanah : H.kardi/dalin</v>
      </c>
      <c r="H108" s="2" t="s">
        <v>625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17</v>
      </c>
      <c r="N108" s="2" t="str">
        <f>IFERROR(IF(VLOOKUP(D108,'Sheet1 (3)'!$C:$F,4,FALSE)="","Tanah Perkampungan",CHOOSE(MATCH(VLOOKUP(D108,'Sheet1 (3)'!$C:$F,4,FALSE),{"PKR","RMH","SWH","KBN"},0),"Tanah Perkampungan","Permukiman","Tanah Persawahan","Tanah Kebun")),"Tanah Pekarangan")</f>
        <v>Tanah Kebun</v>
      </c>
      <c r="O108" s="2" t="str">
        <f>IF(IFERROR(VLOOKUP(D108,'Sheet1 (3)'!$C:$G,5,FALSE),"")="K1","Pengukuran Terestris yang pemetaannya diikatkan ke peta foto","Identifikasi batas bidang tanah diatas peta foto/citra")</f>
        <v>Identifikasi batas bidang tanah diatas peta foto/citra</v>
      </c>
      <c r="P108" s="2">
        <v>0.4</v>
      </c>
      <c r="Q108" s="2"/>
    </row>
    <row r="109" spans="1:17" x14ac:dyDescent="0.25">
      <c r="A109" s="5">
        <v>108</v>
      </c>
      <c r="B109" s="5">
        <v>109</v>
      </c>
      <c r="C109" s="2">
        <v>138</v>
      </c>
      <c r="D109" s="2" t="s">
        <v>105</v>
      </c>
      <c r="E109" s="2" t="str">
        <f>IFERROR(IF(OR(VLOOKUP(D109,'Sheet1 (3)'!$C:$F,4,FALSE)="RMH",VLOOKUP(D109,'Sheet1 (3)'!$C:$F,4,FALSE)="PKR",VLOOKUP(D109,'Sheet1 (3)'!$C:$F,4,FALSE)=""),"Non Pertanian","Pertanian"),"Non Pertanian")</f>
        <v>Pertanian</v>
      </c>
      <c r="F109" s="2" t="s">
        <v>18</v>
      </c>
      <c r="G109" s="2" t="str">
        <f>IFERROR("Sesuai dengan petunjuk pemilik tanah : "&amp;VLOOKUP(D109,'Sheet1 (3)'!$C:$D,2,FALSE),"")</f>
        <v>Sesuai dengan petunjuk pemilik tanah : H.hendri</v>
      </c>
      <c r="H109" s="2" t="s">
        <v>625</v>
      </c>
      <c r="I109" s="2" t="s">
        <v>16</v>
      </c>
      <c r="J109" s="2" t="s">
        <v>16</v>
      </c>
      <c r="K109" s="2" t="s">
        <v>16</v>
      </c>
      <c r="L109" s="2" t="s">
        <v>16</v>
      </c>
      <c r="M109" s="2" t="s">
        <v>17</v>
      </c>
      <c r="N109" s="2" t="str">
        <f>IFERROR(IF(VLOOKUP(D109,'Sheet1 (3)'!$C:$F,4,FALSE)="","Tanah Perkampungan",CHOOSE(MATCH(VLOOKUP(D109,'Sheet1 (3)'!$C:$F,4,FALSE),{"PKR","RMH","SWH","KBN"},0),"Tanah Perkampungan","Permukiman","Tanah Persawahan","Tanah Kebun")),"Tanah Pekarangan")</f>
        <v>Tanah Kebun</v>
      </c>
      <c r="O109" s="2" t="str">
        <f>IF(IFERROR(VLOOKUP(D109,'Sheet1 (3)'!$C:$G,5,FALSE),"")="K1","Pengukuran Terestris yang pemetaannya diikatkan ke peta foto","Identifikasi batas bidang tanah diatas peta foto/citra")</f>
        <v>Pengukuran Terestris yang pemetaannya diikatkan ke peta foto</v>
      </c>
      <c r="P109" s="2">
        <v>0.4</v>
      </c>
      <c r="Q109" s="2"/>
    </row>
    <row r="110" spans="1:17" x14ac:dyDescent="0.25">
      <c r="A110" s="5">
        <v>109</v>
      </c>
      <c r="B110" s="5">
        <v>110</v>
      </c>
      <c r="C110" s="2">
        <v>138</v>
      </c>
      <c r="D110" s="2" t="s">
        <v>133</v>
      </c>
      <c r="E110" s="2" t="str">
        <f>IFERROR(IF(OR(VLOOKUP(D110,'Sheet1 (3)'!$C:$F,4,FALSE)="RMH",VLOOKUP(D110,'Sheet1 (3)'!$C:$F,4,FALSE)="PKR",VLOOKUP(D110,'Sheet1 (3)'!$C:$F,4,FALSE)=""),"Non Pertanian","Pertanian"),"Non Pertanian")</f>
        <v>Pertanian</v>
      </c>
      <c r="F110" s="2" t="s">
        <v>18</v>
      </c>
      <c r="G110" s="2" t="str">
        <f>IFERROR("Sesuai dengan petunjuk pemilik tanah : "&amp;VLOOKUP(D110,'Sheet1 (3)'!$C:$D,2,FALSE),"")</f>
        <v xml:space="preserve">Sesuai dengan petunjuk pemilik tanah : Balkhi </v>
      </c>
      <c r="H110" s="2" t="s">
        <v>625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17</v>
      </c>
      <c r="N110" s="2" t="str">
        <f>IFERROR(IF(VLOOKUP(D110,'Sheet1 (3)'!$C:$F,4,FALSE)="","Tanah Perkampungan",CHOOSE(MATCH(VLOOKUP(D110,'Sheet1 (3)'!$C:$F,4,FALSE),{"PKR","RMH","SWH","KBN"},0),"Tanah Perkampungan","Permukiman","Tanah Persawahan","Tanah Kebun")),"Tanah Pekarangan")</f>
        <v>Tanah Kebun</v>
      </c>
      <c r="O110" s="2" t="str">
        <f>IF(IFERROR(VLOOKUP(D110,'Sheet1 (3)'!$C:$G,5,FALSE),"")="K1","Pengukuran Terestris yang pemetaannya diikatkan ke peta foto","Identifikasi batas bidang tanah diatas peta foto/citra")</f>
        <v>Identifikasi batas bidang tanah diatas peta foto/citra</v>
      </c>
      <c r="P110" s="2">
        <v>0.4</v>
      </c>
      <c r="Q110" s="2"/>
    </row>
    <row r="111" spans="1:17" x14ac:dyDescent="0.25">
      <c r="A111" s="5">
        <v>110</v>
      </c>
      <c r="B111" s="5">
        <v>111</v>
      </c>
      <c r="C111" s="2">
        <v>138</v>
      </c>
      <c r="D111" s="2" t="s">
        <v>129</v>
      </c>
      <c r="E111" s="2" t="str">
        <f>IFERROR(IF(OR(VLOOKUP(D111,'Sheet1 (3)'!$C:$F,4,FALSE)="RMH",VLOOKUP(D111,'Sheet1 (3)'!$C:$F,4,FALSE)="PKR",VLOOKUP(D111,'Sheet1 (3)'!$C:$F,4,FALSE)=""),"Non Pertanian","Pertanian"),"Non Pertanian")</f>
        <v>Pertanian</v>
      </c>
      <c r="F111" s="2" t="s">
        <v>18</v>
      </c>
      <c r="G111" s="2" t="str">
        <f>IFERROR("Sesuai dengan petunjuk pemilik tanah : "&amp;VLOOKUP(D111,'Sheet1 (3)'!$C:$D,2,FALSE),"")</f>
        <v>Sesuai dengan petunjuk pemilik tanah : Salbiah</v>
      </c>
      <c r="H111" s="2" t="s">
        <v>625</v>
      </c>
      <c r="I111" s="2" t="s">
        <v>16</v>
      </c>
      <c r="J111" s="2" t="s">
        <v>16</v>
      </c>
      <c r="K111" s="2" t="s">
        <v>16</v>
      </c>
      <c r="L111" s="2" t="s">
        <v>16</v>
      </c>
      <c r="M111" s="2" t="s">
        <v>17</v>
      </c>
      <c r="N111" s="2" t="str">
        <f>IFERROR(IF(VLOOKUP(D111,'Sheet1 (3)'!$C:$F,4,FALSE)="","Tanah Perkampungan",CHOOSE(MATCH(VLOOKUP(D111,'Sheet1 (3)'!$C:$F,4,FALSE),{"PKR","RMH","SWH","KBN"},0),"Tanah Perkampungan","Permukiman","Tanah Persawahan","Tanah Kebun")),"Tanah Pekarangan")</f>
        <v>Tanah Kebun</v>
      </c>
      <c r="O111" s="2" t="str">
        <f>IF(IFERROR(VLOOKUP(D111,'Sheet1 (3)'!$C:$G,5,FALSE),"")="K1","Pengukuran Terestris yang pemetaannya diikatkan ke peta foto","Identifikasi batas bidang tanah diatas peta foto/citra")</f>
        <v>Identifikasi batas bidang tanah diatas peta foto/citra</v>
      </c>
      <c r="P111" s="2">
        <v>0.4</v>
      </c>
      <c r="Q111" s="2"/>
    </row>
    <row r="112" spans="1:17" x14ac:dyDescent="0.25">
      <c r="A112" s="5">
        <v>111</v>
      </c>
      <c r="B112" s="5">
        <v>112</v>
      </c>
      <c r="C112" s="2">
        <v>138</v>
      </c>
      <c r="D112" s="2" t="s">
        <v>107</v>
      </c>
      <c r="E112" s="2" t="str">
        <f>IFERROR(IF(OR(VLOOKUP(D112,'Sheet1 (3)'!$C:$F,4,FALSE)="RMH",VLOOKUP(D112,'Sheet1 (3)'!$C:$F,4,FALSE)="PKR",VLOOKUP(D112,'Sheet1 (3)'!$C:$F,4,FALSE)=""),"Non Pertanian","Pertanian"),"Non Pertanian")</f>
        <v>Non Pertanian</v>
      </c>
      <c r="F112" s="2" t="s">
        <v>18</v>
      </c>
      <c r="G112" s="2" t="str">
        <f>IFERROR("Sesuai dengan petunjuk pemilik tanah : "&amp;VLOOKUP(D112,'Sheet1 (3)'!$C:$D,2,FALSE),"")</f>
        <v>Sesuai dengan petunjuk pemilik tanah : Muhammad Lan</v>
      </c>
      <c r="H112" s="2" t="s">
        <v>625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17</v>
      </c>
      <c r="N112" s="2" t="str">
        <f>IFERROR(IF(VLOOKUP(D112,'Sheet1 (3)'!$C:$F,4,FALSE)="","Tanah Perkampungan",CHOOSE(MATCH(VLOOKUP(D112,'Sheet1 (3)'!$C:$F,4,FALSE),{"PKR","RMH","SWH","KBN"},0),"Tanah Perkampungan","Permukiman","Tanah Persawahan","Tanah Kebun")),"Tanah Pekarangan")</f>
        <v>Permukiman</v>
      </c>
      <c r="O112" s="2" t="str">
        <f>IF(IFERROR(VLOOKUP(D112,'Sheet1 (3)'!$C:$G,5,FALSE),"")="K1","Pengukuran Terestris yang pemetaannya diikatkan ke peta foto","Identifikasi batas bidang tanah diatas peta foto/citra")</f>
        <v>Pengukuran Terestris yang pemetaannya diikatkan ke peta foto</v>
      </c>
      <c r="P112" s="2">
        <v>0.4</v>
      </c>
      <c r="Q112" s="2"/>
    </row>
    <row r="113" spans="1:17" x14ac:dyDescent="0.25">
      <c r="A113" s="5">
        <v>112</v>
      </c>
      <c r="B113" s="5">
        <v>113</v>
      </c>
      <c r="C113" s="2">
        <v>138</v>
      </c>
      <c r="D113" s="2" t="s">
        <v>100</v>
      </c>
      <c r="E113" s="2" t="str">
        <f>IFERROR(IF(OR(VLOOKUP(D113,'Sheet1 (3)'!$C:$F,4,FALSE)="RMH",VLOOKUP(D113,'Sheet1 (3)'!$C:$F,4,FALSE)="PKR",VLOOKUP(D113,'Sheet1 (3)'!$C:$F,4,FALSE)=""),"Non Pertanian","Pertanian"),"Non Pertanian")</f>
        <v>Pertanian</v>
      </c>
      <c r="F113" s="2" t="s">
        <v>18</v>
      </c>
      <c r="G113" s="2" t="str">
        <f>IFERROR("Sesuai dengan petunjuk pemilik tanah : "&amp;VLOOKUP(D113,'Sheet1 (3)'!$C:$D,2,FALSE),"")</f>
        <v>Sesuai dengan petunjuk pemilik tanah : Anwari</v>
      </c>
      <c r="H113" s="2" t="s">
        <v>625</v>
      </c>
      <c r="I113" s="2" t="s">
        <v>16</v>
      </c>
      <c r="J113" s="2" t="s">
        <v>16</v>
      </c>
      <c r="K113" s="2" t="s">
        <v>16</v>
      </c>
      <c r="L113" s="2" t="s">
        <v>16</v>
      </c>
      <c r="M113" s="2" t="s">
        <v>17</v>
      </c>
      <c r="N113" s="2" t="str">
        <f>IFERROR(IF(VLOOKUP(D113,'Sheet1 (3)'!$C:$F,4,FALSE)="","Tanah Perkampungan",CHOOSE(MATCH(VLOOKUP(D113,'Sheet1 (3)'!$C:$F,4,FALSE),{"PKR","RMH","SWH","KBN"},0),"Tanah Perkampungan","Permukiman","Tanah Persawahan","Tanah Kebun")),"Tanah Pekarangan")</f>
        <v>Tanah Kebun</v>
      </c>
      <c r="O113" s="2" t="str">
        <f>IF(IFERROR(VLOOKUP(D113,'Sheet1 (3)'!$C:$G,5,FALSE),"")="K1","Pengukuran Terestris yang pemetaannya diikatkan ke peta foto","Identifikasi batas bidang tanah diatas peta foto/citra")</f>
        <v>Identifikasi batas bidang tanah diatas peta foto/citra</v>
      </c>
      <c r="P113" s="2">
        <v>0.4</v>
      </c>
      <c r="Q113" s="2"/>
    </row>
    <row r="114" spans="1:17" x14ac:dyDescent="0.25">
      <c r="A114" s="5">
        <v>113</v>
      </c>
      <c r="B114" s="5">
        <v>114</v>
      </c>
      <c r="C114" s="2">
        <v>138</v>
      </c>
      <c r="D114" s="2" t="s">
        <v>98</v>
      </c>
      <c r="E114" s="2" t="str">
        <f>IFERROR(IF(OR(VLOOKUP(D114,'Sheet1 (3)'!$C:$F,4,FALSE)="RMH",VLOOKUP(D114,'Sheet1 (3)'!$C:$F,4,FALSE)="PKR",VLOOKUP(D114,'Sheet1 (3)'!$C:$F,4,FALSE)=""),"Non Pertanian","Pertanian"),"Non Pertanian")</f>
        <v>Non Pertanian</v>
      </c>
      <c r="F114" s="2" t="s">
        <v>18</v>
      </c>
      <c r="G114" s="2" t="str">
        <f>IFERROR("Sesuai dengan petunjuk pemilik tanah : "&amp;VLOOKUP(D114,'Sheet1 (3)'!$C:$D,2,FALSE),"")</f>
        <v>Sesuai dengan petunjuk pemilik tanah : Uray Maulana</v>
      </c>
      <c r="H114" s="2" t="s">
        <v>625</v>
      </c>
      <c r="I114" s="2" t="s">
        <v>16</v>
      </c>
      <c r="J114" s="2" t="s">
        <v>16</v>
      </c>
      <c r="K114" s="2" t="s">
        <v>16</v>
      </c>
      <c r="L114" s="2" t="s">
        <v>16</v>
      </c>
      <c r="M114" s="2" t="s">
        <v>17</v>
      </c>
      <c r="N114" s="2" t="str">
        <f>IFERROR(IF(VLOOKUP(D114,'Sheet1 (3)'!$C:$F,4,FALSE)="","Tanah Perkampungan",CHOOSE(MATCH(VLOOKUP(D114,'Sheet1 (3)'!$C:$F,4,FALSE),{"PKR","RMH","SWH","KBN"},0),"Tanah Perkampungan","Permukiman","Tanah Persawahan","Tanah Kebun")),"Tanah Pekarangan")</f>
        <v>Permukiman</v>
      </c>
      <c r="O114" s="2" t="str">
        <f>IF(IFERROR(VLOOKUP(D114,'Sheet1 (3)'!$C:$G,5,FALSE),"")="K1","Pengukuran Terestris yang pemetaannya diikatkan ke peta foto","Identifikasi batas bidang tanah diatas peta foto/citra")</f>
        <v>Identifikasi batas bidang tanah diatas peta foto/citra</v>
      </c>
      <c r="P114" s="2">
        <v>0.4</v>
      </c>
      <c r="Q114" s="2"/>
    </row>
    <row r="115" spans="1:17" x14ac:dyDescent="0.25">
      <c r="A115" s="5">
        <v>114</v>
      </c>
      <c r="B115" s="5">
        <v>115</v>
      </c>
      <c r="C115" s="2">
        <v>138</v>
      </c>
      <c r="D115" s="2" t="s">
        <v>89</v>
      </c>
      <c r="E115" s="2" t="str">
        <f>IFERROR(IF(OR(VLOOKUP(D115,'Sheet1 (3)'!$C:$F,4,FALSE)="RMH",VLOOKUP(D115,'Sheet1 (3)'!$C:$F,4,FALSE)="PKR",VLOOKUP(D115,'Sheet1 (3)'!$C:$F,4,FALSE)=""),"Non Pertanian","Pertanian"),"Non Pertanian")</f>
        <v>Non Pertanian</v>
      </c>
      <c r="F115" s="2" t="s">
        <v>18</v>
      </c>
      <c r="G115" s="2" t="str">
        <f>IFERROR("Sesuai dengan petunjuk pemilik tanah : "&amp;VLOOKUP(D115,'Sheet1 (3)'!$C:$D,2,FALSE),"")</f>
        <v>Sesuai dengan petunjuk pemilik tanah : Jalan</v>
      </c>
      <c r="H115" s="2" t="s">
        <v>625</v>
      </c>
      <c r="I115" s="2" t="s">
        <v>16</v>
      </c>
      <c r="J115" s="2" t="s">
        <v>16</v>
      </c>
      <c r="K115" s="2" t="s">
        <v>16</v>
      </c>
      <c r="L115" s="2" t="s">
        <v>16</v>
      </c>
      <c r="M115" s="2" t="s">
        <v>17</v>
      </c>
      <c r="N115" s="2" t="str">
        <f>IFERROR(IF(VLOOKUP(D115,'Sheet1 (3)'!$C:$F,4,FALSE)="","Tanah Perkampungan",CHOOSE(MATCH(VLOOKUP(D115,'Sheet1 (3)'!$C:$F,4,FALSE),{"PKR","RMH","SWH","KBN"},0),"Tanah Perkampungan","Permukiman","Tanah Persawahan","Tanah Kebun")),"Tanah Pekarangan")</f>
        <v>Tanah Perkampungan</v>
      </c>
      <c r="O115" s="2" t="str">
        <f>IF(IFERROR(VLOOKUP(D115,'Sheet1 (3)'!$C:$G,5,FALSE),"")="K1","Pengukuran Terestris yang pemetaannya diikatkan ke peta foto","Identifikasi batas bidang tanah diatas peta foto/citra")</f>
        <v>Identifikasi batas bidang tanah diatas peta foto/citra</v>
      </c>
      <c r="P115" s="2">
        <v>0.4</v>
      </c>
      <c r="Q115" s="2"/>
    </row>
    <row r="116" spans="1:17" x14ac:dyDescent="0.25">
      <c r="A116" s="5">
        <v>115</v>
      </c>
      <c r="B116" s="5">
        <v>116</v>
      </c>
      <c r="C116" s="2">
        <v>138</v>
      </c>
      <c r="D116" s="2" t="s">
        <v>52</v>
      </c>
      <c r="E116" s="2" t="str">
        <f>IFERROR(IF(OR(VLOOKUP(D116,'Sheet1 (3)'!$C:$F,4,FALSE)="RMH",VLOOKUP(D116,'Sheet1 (3)'!$C:$F,4,FALSE)="PKR",VLOOKUP(D116,'Sheet1 (3)'!$C:$F,4,FALSE)=""),"Non Pertanian","Pertanian"),"Non Pertanian")</f>
        <v>Pertanian</v>
      </c>
      <c r="F116" s="2" t="s">
        <v>18</v>
      </c>
      <c r="G116" s="2" t="str">
        <f>IFERROR("Sesuai dengan petunjuk pemilik tanah : "&amp;VLOOKUP(D116,'Sheet1 (3)'!$C:$D,2,FALSE),"")</f>
        <v>Sesuai dengan petunjuk pemilik tanah : Marini</v>
      </c>
      <c r="H116" s="2" t="s">
        <v>625</v>
      </c>
      <c r="I116" s="2" t="s">
        <v>16</v>
      </c>
      <c r="J116" s="2" t="s">
        <v>16</v>
      </c>
      <c r="K116" s="2" t="s">
        <v>16</v>
      </c>
      <c r="L116" s="2" t="s">
        <v>16</v>
      </c>
      <c r="M116" s="2" t="s">
        <v>17</v>
      </c>
      <c r="N116" s="2" t="str">
        <f>IFERROR(IF(VLOOKUP(D116,'Sheet1 (3)'!$C:$F,4,FALSE)="","Tanah Perkampungan",CHOOSE(MATCH(VLOOKUP(D116,'Sheet1 (3)'!$C:$F,4,FALSE),{"PKR","RMH","SWH","KBN"},0),"Tanah Perkampungan","Permukiman","Tanah Persawahan","Tanah Kebun")),"Tanah Pekarangan")</f>
        <v>Tanah Kebun</v>
      </c>
      <c r="O116" s="2" t="str">
        <f>IF(IFERROR(VLOOKUP(D116,'Sheet1 (3)'!$C:$G,5,FALSE),"")="K1","Pengukuran Terestris yang pemetaannya diikatkan ke peta foto","Identifikasi batas bidang tanah diatas peta foto/citra")</f>
        <v>Identifikasi batas bidang tanah diatas peta foto/citra</v>
      </c>
      <c r="P116" s="2">
        <v>0.4</v>
      </c>
      <c r="Q116" s="2"/>
    </row>
    <row r="117" spans="1:17" x14ac:dyDescent="0.25">
      <c r="A117" s="5">
        <v>116</v>
      </c>
      <c r="B117" s="5">
        <v>117</v>
      </c>
      <c r="C117" s="2">
        <v>138</v>
      </c>
      <c r="D117" s="2" t="s">
        <v>118</v>
      </c>
      <c r="E117" s="2" t="str">
        <f>IFERROR(IF(OR(VLOOKUP(D117,'Sheet1 (3)'!$C:$F,4,FALSE)="RMH",VLOOKUP(D117,'Sheet1 (3)'!$C:$F,4,FALSE)="PKR",VLOOKUP(D117,'Sheet1 (3)'!$C:$F,4,FALSE)=""),"Non Pertanian","Pertanian"),"Non Pertanian")</f>
        <v>Pertanian</v>
      </c>
      <c r="F117" s="2" t="s">
        <v>18</v>
      </c>
      <c r="G117" s="2" t="str">
        <f>IFERROR("Sesuai dengan petunjuk pemilik tanah : "&amp;VLOOKUP(D117,'Sheet1 (3)'!$C:$D,2,FALSE),"")</f>
        <v>Sesuai dengan petunjuk pemilik tanah : Sabirin</v>
      </c>
      <c r="H117" s="2" t="s">
        <v>625</v>
      </c>
      <c r="I117" s="2" t="s">
        <v>16</v>
      </c>
      <c r="J117" s="2" t="s">
        <v>16</v>
      </c>
      <c r="K117" s="2" t="s">
        <v>16</v>
      </c>
      <c r="L117" s="2" t="s">
        <v>16</v>
      </c>
      <c r="M117" s="2" t="s">
        <v>17</v>
      </c>
      <c r="N117" s="2" t="str">
        <f>IFERROR(IF(VLOOKUP(D117,'Sheet1 (3)'!$C:$F,4,FALSE)="","Tanah Perkampungan",CHOOSE(MATCH(VLOOKUP(D117,'Sheet1 (3)'!$C:$F,4,FALSE),{"PKR","RMH","SWH","KBN"},0),"Tanah Perkampungan","Permukiman","Tanah Persawahan","Tanah Kebun")),"Tanah Pekarangan")</f>
        <v>Tanah Kebun</v>
      </c>
      <c r="O117" s="2" t="str">
        <f>IF(IFERROR(VLOOKUP(D117,'Sheet1 (3)'!$C:$G,5,FALSE),"")="K1","Pengukuran Terestris yang pemetaannya diikatkan ke peta foto","Identifikasi batas bidang tanah diatas peta foto/citra")</f>
        <v>Identifikasi batas bidang tanah diatas peta foto/citra</v>
      </c>
      <c r="P117" s="2">
        <v>0.4</v>
      </c>
      <c r="Q117" s="2"/>
    </row>
    <row r="118" spans="1:17" x14ac:dyDescent="0.25">
      <c r="A118" s="5">
        <v>117</v>
      </c>
      <c r="B118" s="5">
        <v>118</v>
      </c>
      <c r="C118" s="2">
        <v>138</v>
      </c>
      <c r="D118" s="2" t="s">
        <v>106</v>
      </c>
      <c r="E118" s="2" t="str">
        <f>IFERROR(IF(OR(VLOOKUP(D118,'Sheet1 (3)'!$C:$F,4,FALSE)="RMH",VLOOKUP(D118,'Sheet1 (3)'!$C:$F,4,FALSE)="PKR",VLOOKUP(D118,'Sheet1 (3)'!$C:$F,4,FALSE)=""),"Non Pertanian","Pertanian"),"Non Pertanian")</f>
        <v>Pertanian</v>
      </c>
      <c r="F118" s="2" t="s">
        <v>18</v>
      </c>
      <c r="G118" s="2" t="str">
        <f>IFERROR("Sesuai dengan petunjuk pemilik tanah : "&amp;VLOOKUP(D118,'Sheet1 (3)'!$C:$D,2,FALSE),"")</f>
        <v>Sesuai dengan petunjuk pemilik tanah : Hairupan</v>
      </c>
      <c r="H118" s="2" t="s">
        <v>625</v>
      </c>
      <c r="I118" s="2" t="s">
        <v>16</v>
      </c>
      <c r="J118" s="2" t="s">
        <v>16</v>
      </c>
      <c r="K118" s="2" t="s">
        <v>16</v>
      </c>
      <c r="L118" s="2" t="s">
        <v>16</v>
      </c>
      <c r="M118" s="2" t="s">
        <v>17</v>
      </c>
      <c r="N118" s="2" t="str">
        <f>IFERROR(IF(VLOOKUP(D118,'Sheet1 (3)'!$C:$F,4,FALSE)="","Tanah Perkampungan",CHOOSE(MATCH(VLOOKUP(D118,'Sheet1 (3)'!$C:$F,4,FALSE),{"PKR","RMH","SWH","KBN"},0),"Tanah Perkampungan","Permukiman","Tanah Persawahan","Tanah Kebun")),"Tanah Pekarangan")</f>
        <v>Tanah Kebun</v>
      </c>
      <c r="O118" s="2" t="str">
        <f>IF(IFERROR(VLOOKUP(D118,'Sheet1 (3)'!$C:$G,5,FALSE),"")="K1","Pengukuran Terestris yang pemetaannya diikatkan ke peta foto","Identifikasi batas bidang tanah diatas peta foto/citra")</f>
        <v>Identifikasi batas bidang tanah diatas peta foto/citra</v>
      </c>
      <c r="P118" s="2">
        <v>0.4</v>
      </c>
      <c r="Q118" s="2"/>
    </row>
    <row r="119" spans="1:17" x14ac:dyDescent="0.25">
      <c r="A119" s="5">
        <v>118</v>
      </c>
      <c r="B119" s="5">
        <v>119</v>
      </c>
      <c r="C119" s="2">
        <v>138</v>
      </c>
      <c r="D119" s="2" t="s">
        <v>119</v>
      </c>
      <c r="E119" s="2" t="str">
        <f>IFERROR(IF(OR(VLOOKUP(D119,'Sheet1 (3)'!$C:$F,4,FALSE)="RMH",VLOOKUP(D119,'Sheet1 (3)'!$C:$F,4,FALSE)="PKR",VLOOKUP(D119,'Sheet1 (3)'!$C:$F,4,FALSE)=""),"Non Pertanian","Pertanian"),"Non Pertanian")</f>
        <v>Pertanian</v>
      </c>
      <c r="F119" s="2" t="s">
        <v>18</v>
      </c>
      <c r="G119" s="2" t="str">
        <f>IFERROR("Sesuai dengan petunjuk pemilik tanah : "&amp;VLOOKUP(D119,'Sheet1 (3)'!$C:$D,2,FALSE),"")</f>
        <v>Sesuai dengan petunjuk pemilik tanah : Summiati</v>
      </c>
      <c r="H119" s="2" t="s">
        <v>625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17</v>
      </c>
      <c r="N119" s="2" t="str">
        <f>IFERROR(IF(VLOOKUP(D119,'Sheet1 (3)'!$C:$F,4,FALSE)="","Tanah Perkampungan",CHOOSE(MATCH(VLOOKUP(D119,'Sheet1 (3)'!$C:$F,4,FALSE),{"PKR","RMH","SWH","KBN"},0),"Tanah Perkampungan","Permukiman","Tanah Persawahan","Tanah Kebun")),"Tanah Pekarangan")</f>
        <v>Tanah Kebun</v>
      </c>
      <c r="O119" s="2" t="str">
        <f>IF(IFERROR(VLOOKUP(D119,'Sheet1 (3)'!$C:$G,5,FALSE),"")="K1","Pengukuran Terestris yang pemetaannya diikatkan ke peta foto","Identifikasi batas bidang tanah diatas peta foto/citra")</f>
        <v>Pengukuran Terestris yang pemetaannya diikatkan ke peta foto</v>
      </c>
      <c r="P119" s="2">
        <v>0.4</v>
      </c>
      <c r="Q119" s="2"/>
    </row>
    <row r="120" spans="1:17" x14ac:dyDescent="0.25">
      <c r="A120" s="5">
        <v>119</v>
      </c>
      <c r="B120" s="5">
        <v>120</v>
      </c>
      <c r="C120" s="2">
        <v>138</v>
      </c>
      <c r="D120" s="2" t="s">
        <v>138</v>
      </c>
      <c r="E120" s="2" t="str">
        <f>IFERROR(IF(OR(VLOOKUP(D120,'Sheet1 (3)'!$C:$F,4,FALSE)="RMH",VLOOKUP(D120,'Sheet1 (3)'!$C:$F,4,FALSE)="PKR",VLOOKUP(D120,'Sheet1 (3)'!$C:$F,4,FALSE)=""),"Non Pertanian","Pertanian"),"Non Pertanian")</f>
        <v>Pertanian</v>
      </c>
      <c r="F120" s="2" t="s">
        <v>18</v>
      </c>
      <c r="G120" s="2" t="str">
        <f>IFERROR("Sesuai dengan petunjuk pemilik tanah : "&amp;VLOOKUP(D120,'Sheet1 (3)'!$C:$D,2,FALSE),"")</f>
        <v>Sesuai dengan petunjuk pemilik tanah : Wahidah</v>
      </c>
      <c r="H120" s="2" t="s">
        <v>625</v>
      </c>
      <c r="I120" s="2" t="s">
        <v>16</v>
      </c>
      <c r="J120" s="2" t="s">
        <v>16</v>
      </c>
      <c r="K120" s="2" t="s">
        <v>16</v>
      </c>
      <c r="L120" s="2" t="s">
        <v>16</v>
      </c>
      <c r="M120" s="2" t="s">
        <v>17</v>
      </c>
      <c r="N120" s="2" t="str">
        <f>IFERROR(IF(VLOOKUP(D120,'Sheet1 (3)'!$C:$F,4,FALSE)="","Tanah Perkampungan",CHOOSE(MATCH(VLOOKUP(D120,'Sheet1 (3)'!$C:$F,4,FALSE),{"PKR","RMH","SWH","KBN"},0),"Tanah Perkampungan","Permukiman","Tanah Persawahan","Tanah Kebun")),"Tanah Pekarangan")</f>
        <v>Tanah Kebun</v>
      </c>
      <c r="O120" s="2" t="str">
        <f>IF(IFERROR(VLOOKUP(D120,'Sheet1 (3)'!$C:$G,5,FALSE),"")="K1","Pengukuran Terestris yang pemetaannya diikatkan ke peta foto","Identifikasi batas bidang tanah diatas peta foto/citra")</f>
        <v>Identifikasi batas bidang tanah diatas peta foto/citra</v>
      </c>
      <c r="P120" s="2">
        <v>0.4</v>
      </c>
      <c r="Q120" s="2"/>
    </row>
    <row r="121" spans="1:17" x14ac:dyDescent="0.25">
      <c r="A121" s="5">
        <v>120</v>
      </c>
      <c r="B121" s="5">
        <v>121</v>
      </c>
      <c r="C121" s="2">
        <v>138</v>
      </c>
      <c r="D121" s="2" t="s">
        <v>156</v>
      </c>
      <c r="E121" s="2" t="str">
        <f>IFERROR(IF(OR(VLOOKUP(D121,'Sheet1 (3)'!$C:$F,4,FALSE)="RMH",VLOOKUP(D121,'Sheet1 (3)'!$C:$F,4,FALSE)="PKR",VLOOKUP(D121,'Sheet1 (3)'!$C:$F,4,FALSE)=""),"Non Pertanian","Pertanian"),"Non Pertanian")</f>
        <v>Pertanian</v>
      </c>
      <c r="F121" s="2" t="s">
        <v>18</v>
      </c>
      <c r="G121" s="2" t="str">
        <f>IFERROR("Sesuai dengan petunjuk pemilik tanah : "&amp;VLOOKUP(D121,'Sheet1 (3)'!$C:$D,2,FALSE),"")</f>
        <v>Sesuai dengan petunjuk pemilik tanah : Hamka</v>
      </c>
      <c r="H121" s="2" t="s">
        <v>625</v>
      </c>
      <c r="I121" s="2" t="s">
        <v>16</v>
      </c>
      <c r="J121" s="2" t="s">
        <v>16</v>
      </c>
      <c r="K121" s="2" t="s">
        <v>16</v>
      </c>
      <c r="L121" s="2" t="s">
        <v>16</v>
      </c>
      <c r="M121" s="2" t="s">
        <v>17</v>
      </c>
      <c r="N121" s="2" t="str">
        <f>IFERROR(IF(VLOOKUP(D121,'Sheet1 (3)'!$C:$F,4,FALSE)="","Tanah Perkampungan",CHOOSE(MATCH(VLOOKUP(D121,'Sheet1 (3)'!$C:$F,4,FALSE),{"PKR","RMH","SWH","KBN"},0),"Tanah Perkampungan","Permukiman","Tanah Persawahan","Tanah Kebun")),"Tanah Pekarangan")</f>
        <v>Tanah Kebun</v>
      </c>
      <c r="O121" s="2" t="str">
        <f>IF(IFERROR(VLOOKUP(D121,'Sheet1 (3)'!$C:$G,5,FALSE),"")="K1","Pengukuran Terestris yang pemetaannya diikatkan ke peta foto","Identifikasi batas bidang tanah diatas peta foto/citra")</f>
        <v>Identifikasi batas bidang tanah diatas peta foto/citra</v>
      </c>
      <c r="P121" s="2">
        <v>0.4</v>
      </c>
      <c r="Q121" s="2"/>
    </row>
    <row r="122" spans="1:17" x14ac:dyDescent="0.25">
      <c r="A122" s="5">
        <v>121</v>
      </c>
      <c r="B122" s="5">
        <v>122</v>
      </c>
      <c r="C122" s="2">
        <v>138</v>
      </c>
      <c r="D122" s="2" t="s">
        <v>67</v>
      </c>
      <c r="E122" s="2" t="str">
        <f>IFERROR(IF(OR(VLOOKUP(D122,'Sheet1 (3)'!$C:$F,4,FALSE)="RMH",VLOOKUP(D122,'Sheet1 (3)'!$C:$F,4,FALSE)="PKR",VLOOKUP(D122,'Sheet1 (3)'!$C:$F,4,FALSE)=""),"Non Pertanian","Pertanian"),"Non Pertanian")</f>
        <v>Pertanian</v>
      </c>
      <c r="F122" s="2" t="s">
        <v>18</v>
      </c>
      <c r="G122" s="2" t="str">
        <f>IFERROR("Sesuai dengan petunjuk pemilik tanah : "&amp;VLOOKUP(D122,'Sheet1 (3)'!$C:$D,2,FALSE),"")</f>
        <v>Sesuai dengan petunjuk pemilik tanah : Dalin</v>
      </c>
      <c r="H122" s="2" t="s">
        <v>625</v>
      </c>
      <c r="I122" s="2" t="s">
        <v>16</v>
      </c>
      <c r="J122" s="2" t="s">
        <v>16</v>
      </c>
      <c r="K122" s="2" t="s">
        <v>16</v>
      </c>
      <c r="L122" s="2" t="s">
        <v>16</v>
      </c>
      <c r="M122" s="2" t="s">
        <v>17</v>
      </c>
      <c r="N122" s="2" t="str">
        <f>IFERROR(IF(VLOOKUP(D122,'Sheet1 (3)'!$C:$F,4,FALSE)="","Tanah Perkampungan",CHOOSE(MATCH(VLOOKUP(D122,'Sheet1 (3)'!$C:$F,4,FALSE),{"PKR","RMH","SWH","KBN"},0),"Tanah Perkampungan","Permukiman","Tanah Persawahan","Tanah Kebun")),"Tanah Pekarangan")</f>
        <v>Tanah Kebun</v>
      </c>
      <c r="O122" s="2" t="str">
        <f>IF(IFERROR(VLOOKUP(D122,'Sheet1 (3)'!$C:$G,5,FALSE),"")="K1","Pengukuran Terestris yang pemetaannya diikatkan ke peta foto","Identifikasi batas bidang tanah diatas peta foto/citra")</f>
        <v>Identifikasi batas bidang tanah diatas peta foto/citra</v>
      </c>
      <c r="P122" s="2">
        <v>0.4</v>
      </c>
      <c r="Q122" s="2"/>
    </row>
    <row r="123" spans="1:17" x14ac:dyDescent="0.25">
      <c r="A123" s="5">
        <v>122</v>
      </c>
      <c r="B123" s="5">
        <v>123</v>
      </c>
      <c r="C123" s="2">
        <v>138</v>
      </c>
      <c r="D123" s="2" t="s">
        <v>164</v>
      </c>
      <c r="E123" s="2" t="str">
        <f>IFERROR(IF(OR(VLOOKUP(D123,'Sheet1 (3)'!$C:$F,4,FALSE)="RMH",VLOOKUP(D123,'Sheet1 (3)'!$C:$F,4,FALSE)="PKR",VLOOKUP(D123,'Sheet1 (3)'!$C:$F,4,FALSE)=""),"Non Pertanian","Pertanian"),"Non Pertanian")</f>
        <v>Pertanian</v>
      </c>
      <c r="F123" s="2" t="s">
        <v>18</v>
      </c>
      <c r="G123" s="2" t="str">
        <f>IFERROR("Sesuai dengan petunjuk pemilik tanah : "&amp;VLOOKUP(D123,'Sheet1 (3)'!$C:$D,2,FALSE),"")</f>
        <v>Sesuai dengan petunjuk pemilik tanah : Maizir</v>
      </c>
      <c r="H123" s="2" t="s">
        <v>625</v>
      </c>
      <c r="I123" s="2" t="s">
        <v>16</v>
      </c>
      <c r="J123" s="2" t="s">
        <v>16</v>
      </c>
      <c r="K123" s="2" t="s">
        <v>16</v>
      </c>
      <c r="L123" s="2" t="s">
        <v>16</v>
      </c>
      <c r="M123" s="2" t="s">
        <v>17</v>
      </c>
      <c r="N123" s="2" t="str">
        <f>IFERROR(IF(VLOOKUP(D123,'Sheet1 (3)'!$C:$F,4,FALSE)="","Tanah Perkampungan",CHOOSE(MATCH(VLOOKUP(D123,'Sheet1 (3)'!$C:$F,4,FALSE),{"PKR","RMH","SWH","KBN"},0),"Tanah Perkampungan","Permukiman","Tanah Persawahan","Tanah Kebun")),"Tanah Pekarangan")</f>
        <v>Tanah Kebun</v>
      </c>
      <c r="O123" s="2" t="str">
        <f>IF(IFERROR(VLOOKUP(D123,'Sheet1 (3)'!$C:$G,5,FALSE),"")="K1","Pengukuran Terestris yang pemetaannya diikatkan ke peta foto","Identifikasi batas bidang tanah diatas peta foto/citra")</f>
        <v>Identifikasi batas bidang tanah diatas peta foto/citra</v>
      </c>
      <c r="P123" s="2">
        <v>0.4</v>
      </c>
      <c r="Q123" s="2"/>
    </row>
    <row r="124" spans="1:17" x14ac:dyDescent="0.25">
      <c r="A124" s="5">
        <v>123</v>
      </c>
      <c r="B124" s="5">
        <v>124</v>
      </c>
      <c r="C124" s="2">
        <v>138</v>
      </c>
      <c r="D124" s="2" t="s">
        <v>33</v>
      </c>
      <c r="E124" s="2" t="str">
        <f>IFERROR(IF(OR(VLOOKUP(D124,'Sheet1 (3)'!$C:$F,4,FALSE)="RMH",VLOOKUP(D124,'Sheet1 (3)'!$C:$F,4,FALSE)="PKR",VLOOKUP(D124,'Sheet1 (3)'!$C:$F,4,FALSE)=""),"Non Pertanian","Pertanian"),"Non Pertanian")</f>
        <v>Pertanian</v>
      </c>
      <c r="F124" s="2" t="s">
        <v>18</v>
      </c>
      <c r="G124" s="2" t="str">
        <f>IFERROR("Sesuai dengan petunjuk pemilik tanah : "&amp;VLOOKUP(D124,'Sheet1 (3)'!$C:$D,2,FALSE),"")</f>
        <v>Sesuai dengan petunjuk pemilik tanah : Hikmah</v>
      </c>
      <c r="H124" s="2" t="s">
        <v>625</v>
      </c>
      <c r="I124" s="2" t="s">
        <v>16</v>
      </c>
      <c r="J124" s="2" t="s">
        <v>16</v>
      </c>
      <c r="K124" s="2" t="s">
        <v>16</v>
      </c>
      <c r="L124" s="2" t="s">
        <v>16</v>
      </c>
      <c r="M124" s="2" t="s">
        <v>17</v>
      </c>
      <c r="N124" s="2" t="str">
        <f>IFERROR(IF(VLOOKUP(D124,'Sheet1 (3)'!$C:$F,4,FALSE)="","Tanah Perkampungan",CHOOSE(MATCH(VLOOKUP(D124,'Sheet1 (3)'!$C:$F,4,FALSE),{"PKR","RMH","SWH","KBN"},0),"Tanah Perkampungan","Permukiman","Tanah Persawahan","Tanah Kebun")),"Tanah Pekarangan")</f>
        <v>Tanah Kebun</v>
      </c>
      <c r="O124" s="2" t="str">
        <f>IF(IFERROR(VLOOKUP(D124,'Sheet1 (3)'!$C:$G,5,FALSE),"")="K1","Pengukuran Terestris yang pemetaannya diikatkan ke peta foto","Identifikasi batas bidang tanah diatas peta foto/citra")</f>
        <v>Pengukuran Terestris yang pemetaannya diikatkan ke peta foto</v>
      </c>
      <c r="P124" s="2">
        <v>0.4</v>
      </c>
      <c r="Q124" s="2"/>
    </row>
    <row r="125" spans="1:17" x14ac:dyDescent="0.25">
      <c r="A125" s="5">
        <v>124</v>
      </c>
      <c r="B125" s="5">
        <v>125</v>
      </c>
      <c r="C125" s="2">
        <v>138</v>
      </c>
      <c r="D125" s="2" t="s">
        <v>87</v>
      </c>
      <c r="E125" s="2" t="str">
        <f>IFERROR(IF(OR(VLOOKUP(D125,'Sheet1 (3)'!$C:$F,4,FALSE)="RMH",VLOOKUP(D125,'Sheet1 (3)'!$C:$F,4,FALSE)="PKR",VLOOKUP(D125,'Sheet1 (3)'!$C:$F,4,FALSE)=""),"Non Pertanian","Pertanian"),"Non Pertanian")</f>
        <v>Pertanian</v>
      </c>
      <c r="F125" s="2" t="s">
        <v>18</v>
      </c>
      <c r="G125" s="2" t="str">
        <f>IFERROR("Sesuai dengan petunjuk pemilik tanah : "&amp;VLOOKUP(D125,'Sheet1 (3)'!$C:$D,2,FALSE),"")</f>
        <v>Sesuai dengan petunjuk pemilik tanah : H.kardi/dalin</v>
      </c>
      <c r="H125" s="2" t="s">
        <v>625</v>
      </c>
      <c r="I125" s="2" t="s">
        <v>16</v>
      </c>
      <c r="J125" s="2" t="s">
        <v>16</v>
      </c>
      <c r="K125" s="2" t="s">
        <v>16</v>
      </c>
      <c r="L125" s="2" t="s">
        <v>16</v>
      </c>
      <c r="M125" s="2" t="s">
        <v>17</v>
      </c>
      <c r="N125" s="2" t="str">
        <f>IFERROR(IF(VLOOKUP(D125,'Sheet1 (3)'!$C:$F,4,FALSE)="","Tanah Perkampungan",CHOOSE(MATCH(VLOOKUP(D125,'Sheet1 (3)'!$C:$F,4,FALSE),{"PKR","RMH","SWH","KBN"},0),"Tanah Perkampungan","Permukiman","Tanah Persawahan","Tanah Kebun")),"Tanah Pekarangan")</f>
        <v>Tanah Kebun</v>
      </c>
      <c r="O125" s="2" t="str">
        <f>IF(IFERROR(VLOOKUP(D125,'Sheet1 (3)'!$C:$G,5,FALSE),"")="K1","Pengukuran Terestris yang pemetaannya diikatkan ke peta foto","Identifikasi batas bidang tanah diatas peta foto/citra")</f>
        <v>Identifikasi batas bidang tanah diatas peta foto/citra</v>
      </c>
      <c r="P125" s="2">
        <v>0.4</v>
      </c>
      <c r="Q125" s="2"/>
    </row>
    <row r="126" spans="1:17" x14ac:dyDescent="0.25">
      <c r="A126" s="5">
        <v>125</v>
      </c>
      <c r="B126" s="5">
        <v>126</v>
      </c>
      <c r="C126" s="2">
        <v>138</v>
      </c>
      <c r="D126" s="2" t="s">
        <v>167</v>
      </c>
      <c r="E126" s="2" t="str">
        <f>IFERROR(IF(OR(VLOOKUP(D126,'Sheet1 (3)'!$C:$F,4,FALSE)="RMH",VLOOKUP(D126,'Sheet1 (3)'!$C:$F,4,FALSE)="PKR",VLOOKUP(D126,'Sheet1 (3)'!$C:$F,4,FALSE)=""),"Non Pertanian","Pertanian"),"Non Pertanian")</f>
        <v>Pertanian</v>
      </c>
      <c r="F126" s="2" t="s">
        <v>18</v>
      </c>
      <c r="G126" s="2" t="str">
        <f>IFERROR("Sesuai dengan petunjuk pemilik tanah : "&amp;VLOOKUP(D126,'Sheet1 (3)'!$C:$D,2,FALSE),"")</f>
        <v xml:space="preserve">Sesuai dengan petunjuk pemilik tanah : Husban, S.pd.i </v>
      </c>
      <c r="H126" s="2" t="s">
        <v>625</v>
      </c>
      <c r="I126" s="2" t="s">
        <v>16</v>
      </c>
      <c r="J126" s="2" t="s">
        <v>16</v>
      </c>
      <c r="K126" s="2" t="s">
        <v>16</v>
      </c>
      <c r="L126" s="2" t="s">
        <v>16</v>
      </c>
      <c r="M126" s="2" t="s">
        <v>17</v>
      </c>
      <c r="N126" s="2" t="str">
        <f>IFERROR(IF(VLOOKUP(D126,'Sheet1 (3)'!$C:$F,4,FALSE)="","Tanah Perkampungan",CHOOSE(MATCH(VLOOKUP(D126,'Sheet1 (3)'!$C:$F,4,FALSE),{"PKR","RMH","SWH","KBN"},0),"Tanah Perkampungan","Permukiman","Tanah Persawahan","Tanah Kebun")),"Tanah Pekarangan")</f>
        <v>Tanah Kebun</v>
      </c>
      <c r="O126" s="2" t="str">
        <f>IF(IFERROR(VLOOKUP(D126,'Sheet1 (3)'!$C:$G,5,FALSE),"")="K1","Pengukuran Terestris yang pemetaannya diikatkan ke peta foto","Identifikasi batas bidang tanah diatas peta foto/citra")</f>
        <v>Identifikasi batas bidang tanah diatas peta foto/citra</v>
      </c>
      <c r="P126" s="2">
        <v>0.4</v>
      </c>
      <c r="Q126" s="2"/>
    </row>
    <row r="127" spans="1:17" x14ac:dyDescent="0.25">
      <c r="A127" s="5">
        <v>126</v>
      </c>
      <c r="B127" s="5">
        <v>127</v>
      </c>
      <c r="C127" s="2">
        <v>138</v>
      </c>
      <c r="D127" s="2" t="s">
        <v>99</v>
      </c>
      <c r="E127" s="2" t="str">
        <f>IFERROR(IF(OR(VLOOKUP(D127,'Sheet1 (3)'!$C:$F,4,FALSE)="RMH",VLOOKUP(D127,'Sheet1 (3)'!$C:$F,4,FALSE)="PKR",VLOOKUP(D127,'Sheet1 (3)'!$C:$F,4,FALSE)=""),"Non Pertanian","Pertanian"),"Non Pertanian")</f>
        <v>Pertanian</v>
      </c>
      <c r="F127" s="2" t="s">
        <v>18</v>
      </c>
      <c r="G127" s="2" t="str">
        <f>IFERROR("Sesuai dengan petunjuk pemilik tanah : "&amp;VLOOKUP(D127,'Sheet1 (3)'!$C:$D,2,FALSE),"")</f>
        <v xml:space="preserve">Sesuai dengan petunjuk pemilik tanah : H.hendri </v>
      </c>
      <c r="H127" s="2" t="s">
        <v>625</v>
      </c>
      <c r="I127" s="2" t="s">
        <v>16</v>
      </c>
      <c r="J127" s="2" t="s">
        <v>16</v>
      </c>
      <c r="K127" s="2" t="s">
        <v>16</v>
      </c>
      <c r="L127" s="2" t="s">
        <v>16</v>
      </c>
      <c r="M127" s="2" t="s">
        <v>17</v>
      </c>
      <c r="N127" s="2" t="str">
        <f>IFERROR(IF(VLOOKUP(D127,'Sheet1 (3)'!$C:$F,4,FALSE)="","Tanah Perkampungan",CHOOSE(MATCH(VLOOKUP(D127,'Sheet1 (3)'!$C:$F,4,FALSE),{"PKR","RMH","SWH","KBN"},0),"Tanah Perkampungan","Permukiman","Tanah Persawahan","Tanah Kebun")),"Tanah Pekarangan")</f>
        <v>Tanah Kebun</v>
      </c>
      <c r="O127" s="2" t="str">
        <f>IF(IFERROR(VLOOKUP(D127,'Sheet1 (3)'!$C:$G,5,FALSE),"")="K1","Pengukuran Terestris yang pemetaannya diikatkan ke peta foto","Identifikasi batas bidang tanah diatas peta foto/citra")</f>
        <v>Pengukuran Terestris yang pemetaannya diikatkan ke peta foto</v>
      </c>
      <c r="P127" s="2">
        <v>0.4</v>
      </c>
      <c r="Q127" s="2"/>
    </row>
    <row r="128" spans="1:17" x14ac:dyDescent="0.25">
      <c r="A128" s="5">
        <v>127</v>
      </c>
      <c r="B128" s="5">
        <v>128</v>
      </c>
      <c r="C128" s="2">
        <v>138</v>
      </c>
      <c r="D128" s="2" t="s">
        <v>39</v>
      </c>
      <c r="E128" s="2" t="str">
        <f>IFERROR(IF(OR(VLOOKUP(D128,'Sheet1 (3)'!$C:$F,4,FALSE)="RMH",VLOOKUP(D128,'Sheet1 (3)'!$C:$F,4,FALSE)="PKR",VLOOKUP(D128,'Sheet1 (3)'!$C:$F,4,FALSE)=""),"Non Pertanian","Pertanian"),"Non Pertanian")</f>
        <v>Non Pertanian</v>
      </c>
      <c r="F128" s="2" t="s">
        <v>18</v>
      </c>
      <c r="G128" s="2" t="str">
        <f>IFERROR("Sesuai dengan petunjuk pemilik tanah : "&amp;VLOOKUP(D128,'Sheet1 (3)'!$C:$D,2,FALSE),"")</f>
        <v>Sesuai dengan petunjuk pemilik tanah : Jalan</v>
      </c>
      <c r="H128" s="2" t="s">
        <v>625</v>
      </c>
      <c r="I128" s="2" t="s">
        <v>16</v>
      </c>
      <c r="J128" s="2" t="s">
        <v>16</v>
      </c>
      <c r="K128" s="2" t="s">
        <v>16</v>
      </c>
      <c r="L128" s="2" t="s">
        <v>16</v>
      </c>
      <c r="M128" s="2" t="s">
        <v>17</v>
      </c>
      <c r="N128" s="2" t="str">
        <f>IFERROR(IF(VLOOKUP(D128,'Sheet1 (3)'!$C:$F,4,FALSE)="","Tanah Perkampungan",CHOOSE(MATCH(VLOOKUP(D128,'Sheet1 (3)'!$C:$F,4,FALSE),{"PKR","RMH","SWH","KBN"},0),"Tanah Perkampungan","Permukiman","Tanah Persawahan","Tanah Kebun")),"Tanah Pekarangan")</f>
        <v>Tanah Perkampungan</v>
      </c>
      <c r="O128" s="2" t="str">
        <f>IF(IFERROR(VLOOKUP(D128,'Sheet1 (3)'!$C:$G,5,FALSE),"")="K1","Pengukuran Terestris yang pemetaannya diikatkan ke peta foto","Identifikasi batas bidang tanah diatas peta foto/citra")</f>
        <v>Identifikasi batas bidang tanah diatas peta foto/citra</v>
      </c>
      <c r="P128" s="2">
        <v>0.4</v>
      </c>
      <c r="Q128" s="2"/>
    </row>
    <row r="129" spans="1:17" x14ac:dyDescent="0.25">
      <c r="A129" s="5">
        <v>128</v>
      </c>
      <c r="B129" s="5">
        <v>129</v>
      </c>
      <c r="C129" s="2">
        <v>138</v>
      </c>
      <c r="D129" s="2" t="s">
        <v>169</v>
      </c>
      <c r="E129" s="2" t="str">
        <f>IFERROR(IF(OR(VLOOKUP(D129,'Sheet1 (3)'!$C:$F,4,FALSE)="RMH",VLOOKUP(D129,'Sheet1 (3)'!$C:$F,4,FALSE)="PKR",VLOOKUP(D129,'Sheet1 (3)'!$C:$F,4,FALSE)=""),"Non Pertanian","Pertanian"),"Non Pertanian")</f>
        <v>Pertanian</v>
      </c>
      <c r="F129" s="2" t="s">
        <v>18</v>
      </c>
      <c r="G129" s="2" t="str">
        <f>IFERROR("Sesuai dengan petunjuk pemilik tanah : "&amp;VLOOKUP(D129,'Sheet1 (3)'!$C:$D,2,FALSE),"")</f>
        <v>Sesuai dengan petunjuk pemilik tanah : Zarhah</v>
      </c>
      <c r="H129" s="2" t="s">
        <v>625</v>
      </c>
      <c r="I129" s="2" t="s">
        <v>16</v>
      </c>
      <c r="J129" s="2" t="s">
        <v>16</v>
      </c>
      <c r="K129" s="2" t="s">
        <v>16</v>
      </c>
      <c r="L129" s="2" t="s">
        <v>16</v>
      </c>
      <c r="M129" s="2" t="s">
        <v>17</v>
      </c>
      <c r="N129" s="2" t="str">
        <f>IFERROR(IF(VLOOKUP(D129,'Sheet1 (3)'!$C:$F,4,FALSE)="","Tanah Perkampungan",CHOOSE(MATCH(VLOOKUP(D129,'Sheet1 (3)'!$C:$F,4,FALSE),{"PKR","RMH","SWH","KBN"},0),"Tanah Perkampungan","Permukiman","Tanah Persawahan","Tanah Kebun")),"Tanah Pekarangan")</f>
        <v>Tanah Kebun</v>
      </c>
      <c r="O129" s="2" t="str">
        <f>IF(IFERROR(VLOOKUP(D129,'Sheet1 (3)'!$C:$G,5,FALSE),"")="K1","Pengukuran Terestris yang pemetaannya diikatkan ke peta foto","Identifikasi batas bidang tanah diatas peta foto/citra")</f>
        <v>Pengukuran Terestris yang pemetaannya diikatkan ke peta foto</v>
      </c>
      <c r="P129" s="2">
        <v>0.4</v>
      </c>
      <c r="Q129" s="2"/>
    </row>
    <row r="130" spans="1:17" x14ac:dyDescent="0.25">
      <c r="A130" s="5">
        <v>129</v>
      </c>
      <c r="B130" s="5">
        <v>130</v>
      </c>
      <c r="C130" s="2">
        <v>138</v>
      </c>
      <c r="D130" s="2" t="s">
        <v>186</v>
      </c>
      <c r="E130" s="2" t="str">
        <f>IFERROR(IF(OR(VLOOKUP(D130,'Sheet1 (3)'!$C:$F,4,FALSE)="RMH",VLOOKUP(D130,'Sheet1 (3)'!$C:$F,4,FALSE)="PKR",VLOOKUP(D130,'Sheet1 (3)'!$C:$F,4,FALSE)=""),"Non Pertanian","Pertanian"),"Non Pertanian")</f>
        <v>Pertanian</v>
      </c>
      <c r="F130" s="2" t="s">
        <v>18</v>
      </c>
      <c r="G130" s="2" t="str">
        <f>IFERROR("Sesuai dengan petunjuk pemilik tanah : "&amp;VLOOKUP(D130,'Sheet1 (3)'!$C:$D,2,FALSE),"")</f>
        <v>Sesuai dengan petunjuk pemilik tanah : Diwan</v>
      </c>
      <c r="H130" s="2" t="s">
        <v>625</v>
      </c>
      <c r="I130" s="2" t="s">
        <v>16</v>
      </c>
      <c r="J130" s="2" t="s">
        <v>16</v>
      </c>
      <c r="K130" s="2" t="s">
        <v>16</v>
      </c>
      <c r="L130" s="2" t="s">
        <v>16</v>
      </c>
      <c r="M130" s="2" t="s">
        <v>17</v>
      </c>
      <c r="N130" s="2" t="str">
        <f>IFERROR(IF(VLOOKUP(D130,'Sheet1 (3)'!$C:$F,4,FALSE)="","Tanah Perkampungan",CHOOSE(MATCH(VLOOKUP(D130,'Sheet1 (3)'!$C:$F,4,FALSE),{"PKR","RMH","SWH","KBN"},0),"Tanah Perkampungan","Permukiman","Tanah Persawahan","Tanah Kebun")),"Tanah Pekarangan")</f>
        <v>Tanah Kebun</v>
      </c>
      <c r="O130" s="2" t="str">
        <f>IF(IFERROR(VLOOKUP(D130,'Sheet1 (3)'!$C:$G,5,FALSE),"")="K1","Pengukuran Terestris yang pemetaannya diikatkan ke peta foto","Identifikasi batas bidang tanah diatas peta foto/citra")</f>
        <v>Pengukuran Terestris yang pemetaannya diikatkan ke peta foto</v>
      </c>
      <c r="P130" s="2">
        <v>0.4</v>
      </c>
      <c r="Q130" s="2"/>
    </row>
    <row r="131" spans="1:17" x14ac:dyDescent="0.25">
      <c r="A131" s="5">
        <v>130</v>
      </c>
      <c r="B131" s="5">
        <v>131</v>
      </c>
      <c r="C131" s="2">
        <v>138</v>
      </c>
      <c r="D131" s="2" t="s">
        <v>229</v>
      </c>
      <c r="E131" s="2" t="str">
        <f>IFERROR(IF(OR(VLOOKUP(D131,'Sheet1 (3)'!$C:$F,4,FALSE)="RMH",VLOOKUP(D131,'Sheet1 (3)'!$C:$F,4,FALSE)="PKR",VLOOKUP(D131,'Sheet1 (3)'!$C:$F,4,FALSE)=""),"Non Pertanian","Pertanian"),"Non Pertanian")</f>
        <v>Pertanian</v>
      </c>
      <c r="F131" s="2" t="s">
        <v>18</v>
      </c>
      <c r="G131" s="2" t="str">
        <f>IFERROR("Sesuai dengan petunjuk pemilik tanah : "&amp;VLOOKUP(D131,'Sheet1 (3)'!$C:$D,2,FALSE),"")</f>
        <v>Sesuai dengan petunjuk pemilik tanah : Rubiha</v>
      </c>
      <c r="H131" s="2" t="s">
        <v>625</v>
      </c>
      <c r="I131" s="2" t="s">
        <v>16</v>
      </c>
      <c r="J131" s="2" t="s">
        <v>16</v>
      </c>
      <c r="K131" s="2" t="s">
        <v>16</v>
      </c>
      <c r="L131" s="2" t="s">
        <v>16</v>
      </c>
      <c r="M131" s="2" t="s">
        <v>17</v>
      </c>
      <c r="N131" s="2" t="str">
        <f>IFERROR(IF(VLOOKUP(D131,'Sheet1 (3)'!$C:$F,4,FALSE)="","Tanah Perkampungan",CHOOSE(MATCH(VLOOKUP(D131,'Sheet1 (3)'!$C:$F,4,FALSE),{"PKR","RMH","SWH","KBN"},0),"Tanah Perkampungan","Permukiman","Tanah Persawahan","Tanah Kebun")),"Tanah Pekarangan")</f>
        <v>Tanah Kebun</v>
      </c>
      <c r="O131" s="2" t="str">
        <f>IF(IFERROR(VLOOKUP(D131,'Sheet1 (3)'!$C:$G,5,FALSE),"")="K1","Pengukuran Terestris yang pemetaannya diikatkan ke peta foto","Identifikasi batas bidang tanah diatas peta foto/citra")</f>
        <v>Identifikasi batas bidang tanah diatas peta foto/citra</v>
      </c>
      <c r="P131" s="2">
        <v>0.4</v>
      </c>
      <c r="Q131" s="2"/>
    </row>
    <row r="132" spans="1:17" x14ac:dyDescent="0.25">
      <c r="A132" s="5">
        <v>131</v>
      </c>
      <c r="B132" s="5">
        <v>132</v>
      </c>
      <c r="C132" s="2">
        <v>138</v>
      </c>
      <c r="D132" s="2" t="s">
        <v>139</v>
      </c>
      <c r="E132" s="2" t="str">
        <f>IFERROR(IF(OR(VLOOKUP(D132,'Sheet1 (3)'!$C:$F,4,FALSE)="RMH",VLOOKUP(D132,'Sheet1 (3)'!$C:$F,4,FALSE)="PKR",VLOOKUP(D132,'Sheet1 (3)'!$C:$F,4,FALSE)=""),"Non Pertanian","Pertanian"),"Non Pertanian")</f>
        <v>Pertanian</v>
      </c>
      <c r="F132" s="2" t="s">
        <v>18</v>
      </c>
      <c r="G132" s="2" t="str">
        <f>IFERROR("Sesuai dengan petunjuk pemilik tanah : "&amp;VLOOKUP(D132,'Sheet1 (3)'!$C:$D,2,FALSE),"")</f>
        <v>Sesuai dengan petunjuk pemilik tanah : Nuraliah</v>
      </c>
      <c r="H132" s="2" t="s">
        <v>625</v>
      </c>
      <c r="I132" s="2" t="s">
        <v>16</v>
      </c>
      <c r="J132" s="2" t="s">
        <v>16</v>
      </c>
      <c r="K132" s="2" t="s">
        <v>16</v>
      </c>
      <c r="L132" s="2" t="s">
        <v>16</v>
      </c>
      <c r="M132" s="2" t="s">
        <v>17</v>
      </c>
      <c r="N132" s="2" t="str">
        <f>IFERROR(IF(VLOOKUP(D132,'Sheet1 (3)'!$C:$F,4,FALSE)="","Tanah Perkampungan",CHOOSE(MATCH(VLOOKUP(D132,'Sheet1 (3)'!$C:$F,4,FALSE),{"PKR","RMH","SWH","KBN"},0),"Tanah Perkampungan","Permukiman","Tanah Persawahan","Tanah Kebun")),"Tanah Pekarangan")</f>
        <v>Tanah Kebun</v>
      </c>
      <c r="O132" s="2" t="str">
        <f>IF(IFERROR(VLOOKUP(D132,'Sheet1 (3)'!$C:$G,5,FALSE),"")="K1","Pengukuran Terestris yang pemetaannya diikatkan ke peta foto","Identifikasi batas bidang tanah diatas peta foto/citra")</f>
        <v>Identifikasi batas bidang tanah diatas peta foto/citra</v>
      </c>
      <c r="P132" s="2">
        <v>0.4</v>
      </c>
      <c r="Q132" s="2"/>
    </row>
    <row r="133" spans="1:17" x14ac:dyDescent="0.25">
      <c r="A133" s="5">
        <v>132</v>
      </c>
      <c r="B133" s="5">
        <v>133</v>
      </c>
      <c r="C133" s="2">
        <v>138</v>
      </c>
      <c r="D133" s="2" t="s">
        <v>210</v>
      </c>
      <c r="E133" s="2" t="str">
        <f>IFERROR(IF(OR(VLOOKUP(D133,'Sheet1 (3)'!$C:$F,4,FALSE)="RMH",VLOOKUP(D133,'Sheet1 (3)'!$C:$F,4,FALSE)="PKR",VLOOKUP(D133,'Sheet1 (3)'!$C:$F,4,FALSE)=""),"Non Pertanian","Pertanian"),"Non Pertanian")</f>
        <v>Pertanian</v>
      </c>
      <c r="F133" s="2" t="s">
        <v>18</v>
      </c>
      <c r="G133" s="2" t="str">
        <f>IFERROR("Sesuai dengan petunjuk pemilik tanah : "&amp;VLOOKUP(D133,'Sheet1 (3)'!$C:$D,2,FALSE),"")</f>
        <v>Sesuai dengan petunjuk pemilik tanah : Musni</v>
      </c>
      <c r="H133" s="2" t="s">
        <v>625</v>
      </c>
      <c r="I133" s="2" t="s">
        <v>16</v>
      </c>
      <c r="J133" s="2" t="s">
        <v>16</v>
      </c>
      <c r="K133" s="2" t="s">
        <v>16</v>
      </c>
      <c r="L133" s="2" t="s">
        <v>16</v>
      </c>
      <c r="M133" s="2" t="s">
        <v>17</v>
      </c>
      <c r="N133" s="2" t="str">
        <f>IFERROR(IF(VLOOKUP(D133,'Sheet1 (3)'!$C:$F,4,FALSE)="","Tanah Perkampungan",CHOOSE(MATCH(VLOOKUP(D133,'Sheet1 (3)'!$C:$F,4,FALSE),{"PKR","RMH","SWH","KBN"},0),"Tanah Perkampungan","Permukiman","Tanah Persawahan","Tanah Kebun")),"Tanah Pekarangan")</f>
        <v>Tanah Kebun</v>
      </c>
      <c r="O133" s="2" t="str">
        <f>IF(IFERROR(VLOOKUP(D133,'Sheet1 (3)'!$C:$G,5,FALSE),"")="K1","Pengukuran Terestris yang pemetaannya diikatkan ke peta foto","Identifikasi batas bidang tanah diatas peta foto/citra")</f>
        <v>Identifikasi batas bidang tanah diatas peta foto/citra</v>
      </c>
      <c r="P133" s="2">
        <v>0.4</v>
      </c>
      <c r="Q133" s="2"/>
    </row>
    <row r="134" spans="1:17" x14ac:dyDescent="0.25">
      <c r="A134" s="5">
        <v>133</v>
      </c>
      <c r="B134" s="5">
        <v>134</v>
      </c>
      <c r="C134" s="2">
        <v>138</v>
      </c>
      <c r="D134" s="2" t="s">
        <v>232</v>
      </c>
      <c r="E134" s="2" t="str">
        <f>IFERROR(IF(OR(VLOOKUP(D134,'Sheet1 (3)'!$C:$F,4,FALSE)="RMH",VLOOKUP(D134,'Sheet1 (3)'!$C:$F,4,FALSE)="PKR",VLOOKUP(D134,'Sheet1 (3)'!$C:$F,4,FALSE)=""),"Non Pertanian","Pertanian"),"Non Pertanian")</f>
        <v>Pertanian</v>
      </c>
      <c r="F134" s="2" t="s">
        <v>18</v>
      </c>
      <c r="G134" s="2" t="str">
        <f>IFERROR("Sesuai dengan petunjuk pemilik tanah : "&amp;VLOOKUP(D134,'Sheet1 (3)'!$C:$D,2,FALSE),"")</f>
        <v>Sesuai dengan petunjuk pemilik tanah : Hasbi</v>
      </c>
      <c r="H134" s="2" t="s">
        <v>625</v>
      </c>
      <c r="I134" s="2" t="s">
        <v>16</v>
      </c>
      <c r="J134" s="2" t="s">
        <v>16</v>
      </c>
      <c r="K134" s="2" t="s">
        <v>16</v>
      </c>
      <c r="L134" s="2" t="s">
        <v>16</v>
      </c>
      <c r="M134" s="2" t="s">
        <v>17</v>
      </c>
      <c r="N134" s="2" t="str">
        <f>IFERROR(IF(VLOOKUP(D134,'Sheet1 (3)'!$C:$F,4,FALSE)="","Tanah Perkampungan",CHOOSE(MATCH(VLOOKUP(D134,'Sheet1 (3)'!$C:$F,4,FALSE),{"PKR","RMH","SWH","KBN"},0),"Tanah Perkampungan","Permukiman","Tanah Persawahan","Tanah Kebun")),"Tanah Pekarangan")</f>
        <v>Tanah Kebun</v>
      </c>
      <c r="O134" s="2" t="str">
        <f>IF(IFERROR(VLOOKUP(D134,'Sheet1 (3)'!$C:$G,5,FALSE),"")="K1","Pengukuran Terestris yang pemetaannya diikatkan ke peta foto","Identifikasi batas bidang tanah diatas peta foto/citra")</f>
        <v>Pengukuran Terestris yang pemetaannya diikatkan ke peta foto</v>
      </c>
      <c r="P134" s="2">
        <v>0.4</v>
      </c>
      <c r="Q134" s="2"/>
    </row>
    <row r="135" spans="1:17" x14ac:dyDescent="0.25">
      <c r="A135" s="5">
        <v>134</v>
      </c>
      <c r="B135" s="5">
        <v>135</v>
      </c>
      <c r="C135" s="2">
        <v>138</v>
      </c>
      <c r="D135" s="2" t="s">
        <v>211</v>
      </c>
      <c r="E135" s="2" t="str">
        <f>IFERROR(IF(OR(VLOOKUP(D135,'Sheet1 (3)'!$C:$F,4,FALSE)="RMH",VLOOKUP(D135,'Sheet1 (3)'!$C:$F,4,FALSE)="PKR",VLOOKUP(D135,'Sheet1 (3)'!$C:$F,4,FALSE)=""),"Non Pertanian","Pertanian"),"Non Pertanian")</f>
        <v>Pertanian</v>
      </c>
      <c r="F135" s="2" t="s">
        <v>18</v>
      </c>
      <c r="G135" s="2" t="str">
        <f>IFERROR("Sesuai dengan petunjuk pemilik tanah : "&amp;VLOOKUP(D135,'Sheet1 (3)'!$C:$D,2,FALSE),"")</f>
        <v>Sesuai dengan petunjuk pemilik tanah : Nahari</v>
      </c>
      <c r="H135" s="2" t="s">
        <v>625</v>
      </c>
      <c r="I135" s="2" t="s">
        <v>16</v>
      </c>
      <c r="J135" s="2" t="s">
        <v>16</v>
      </c>
      <c r="K135" s="2" t="s">
        <v>16</v>
      </c>
      <c r="L135" s="2" t="s">
        <v>16</v>
      </c>
      <c r="M135" s="2" t="s">
        <v>17</v>
      </c>
      <c r="N135" s="2" t="str">
        <f>IFERROR(IF(VLOOKUP(D135,'Sheet1 (3)'!$C:$F,4,FALSE)="","Tanah Perkampungan",CHOOSE(MATCH(VLOOKUP(D135,'Sheet1 (3)'!$C:$F,4,FALSE),{"PKR","RMH","SWH","KBN"},0),"Tanah Perkampungan","Permukiman","Tanah Persawahan","Tanah Kebun")),"Tanah Pekarangan")</f>
        <v>Tanah Kebun</v>
      </c>
      <c r="O135" s="2" t="str">
        <f>IF(IFERROR(VLOOKUP(D135,'Sheet1 (3)'!$C:$G,5,FALSE),"")="K1","Pengukuran Terestris yang pemetaannya diikatkan ke peta foto","Identifikasi batas bidang tanah diatas peta foto/citra")</f>
        <v>Identifikasi batas bidang tanah diatas peta foto/citra</v>
      </c>
      <c r="P135" s="2">
        <v>0.4</v>
      </c>
      <c r="Q135" s="2"/>
    </row>
    <row r="136" spans="1:17" x14ac:dyDescent="0.25">
      <c r="A136" s="5">
        <v>135</v>
      </c>
      <c r="B136" s="5">
        <v>136</v>
      </c>
      <c r="C136" s="2">
        <v>138</v>
      </c>
      <c r="D136" s="2" t="s">
        <v>234</v>
      </c>
      <c r="E136" s="2" t="str">
        <f>IFERROR(IF(OR(VLOOKUP(D136,'Sheet1 (3)'!$C:$F,4,FALSE)="RMH",VLOOKUP(D136,'Sheet1 (3)'!$C:$F,4,FALSE)="PKR",VLOOKUP(D136,'Sheet1 (3)'!$C:$F,4,FALSE)=""),"Non Pertanian","Pertanian"),"Non Pertanian")</f>
        <v>Pertanian</v>
      </c>
      <c r="F136" s="2" t="s">
        <v>18</v>
      </c>
      <c r="G136" s="2" t="str">
        <f>IFERROR("Sesuai dengan petunjuk pemilik tanah : "&amp;VLOOKUP(D136,'Sheet1 (3)'!$C:$D,2,FALSE),"")</f>
        <v>Sesuai dengan petunjuk pemilik tanah : Nuraliah</v>
      </c>
      <c r="H136" s="2" t="s">
        <v>625</v>
      </c>
      <c r="I136" s="2" t="s">
        <v>16</v>
      </c>
      <c r="J136" s="2" t="s">
        <v>16</v>
      </c>
      <c r="K136" s="2" t="s">
        <v>16</v>
      </c>
      <c r="L136" s="2" t="s">
        <v>16</v>
      </c>
      <c r="M136" s="2" t="s">
        <v>17</v>
      </c>
      <c r="N136" s="2" t="str">
        <f>IFERROR(IF(VLOOKUP(D136,'Sheet1 (3)'!$C:$F,4,FALSE)="","Tanah Perkampungan",CHOOSE(MATCH(VLOOKUP(D136,'Sheet1 (3)'!$C:$F,4,FALSE),{"PKR","RMH","SWH","KBN"},0),"Tanah Perkampungan","Permukiman","Tanah Persawahan","Tanah Kebun")),"Tanah Pekarangan")</f>
        <v>Tanah Kebun</v>
      </c>
      <c r="O136" s="2" t="str">
        <f>IF(IFERROR(VLOOKUP(D136,'Sheet1 (3)'!$C:$G,5,FALSE),"")="K1","Pengukuran Terestris yang pemetaannya diikatkan ke peta foto","Identifikasi batas bidang tanah diatas peta foto/citra")</f>
        <v>Identifikasi batas bidang tanah diatas peta foto/citra</v>
      </c>
      <c r="P136" s="2">
        <v>0.4</v>
      </c>
      <c r="Q136" s="2"/>
    </row>
    <row r="137" spans="1:17" x14ac:dyDescent="0.25">
      <c r="A137" s="5">
        <v>136</v>
      </c>
      <c r="B137" s="5">
        <v>137</v>
      </c>
      <c r="C137" s="2">
        <v>138</v>
      </c>
      <c r="D137" s="2" t="s">
        <v>227</v>
      </c>
      <c r="E137" s="2" t="str">
        <f>IFERROR(IF(OR(VLOOKUP(D137,'Sheet1 (3)'!$C:$F,4,FALSE)="RMH",VLOOKUP(D137,'Sheet1 (3)'!$C:$F,4,FALSE)="PKR",VLOOKUP(D137,'Sheet1 (3)'!$C:$F,4,FALSE)=""),"Non Pertanian","Pertanian"),"Non Pertanian")</f>
        <v>Pertanian</v>
      </c>
      <c r="F137" s="2" t="s">
        <v>18</v>
      </c>
      <c r="G137" s="2" t="str">
        <f>IFERROR("Sesuai dengan petunjuk pemilik tanah : "&amp;VLOOKUP(D137,'Sheet1 (3)'!$C:$D,2,FALSE),"")</f>
        <v xml:space="preserve">Sesuai dengan petunjuk pemilik tanah : M.fiqri </v>
      </c>
      <c r="H137" s="2" t="s">
        <v>625</v>
      </c>
      <c r="I137" s="2" t="s">
        <v>16</v>
      </c>
      <c r="J137" s="2" t="s">
        <v>16</v>
      </c>
      <c r="K137" s="2" t="s">
        <v>16</v>
      </c>
      <c r="L137" s="2" t="s">
        <v>16</v>
      </c>
      <c r="M137" s="2" t="s">
        <v>17</v>
      </c>
      <c r="N137" s="2" t="str">
        <f>IFERROR(IF(VLOOKUP(D137,'Sheet1 (3)'!$C:$F,4,FALSE)="","Tanah Perkampungan",CHOOSE(MATCH(VLOOKUP(D137,'Sheet1 (3)'!$C:$F,4,FALSE),{"PKR","RMH","SWH","KBN"},0),"Tanah Perkampungan","Permukiman","Tanah Persawahan","Tanah Kebun")),"Tanah Pekarangan")</f>
        <v>Tanah Kebun</v>
      </c>
      <c r="O137" s="2" t="str">
        <f>IF(IFERROR(VLOOKUP(D137,'Sheet1 (3)'!$C:$G,5,FALSE),"")="K1","Pengukuran Terestris yang pemetaannya diikatkan ke peta foto","Identifikasi batas bidang tanah diatas peta foto/citra")</f>
        <v>Pengukuran Terestris yang pemetaannya diikatkan ke peta foto</v>
      </c>
      <c r="P137" s="2">
        <v>0.4</v>
      </c>
      <c r="Q137" s="2"/>
    </row>
    <row r="138" spans="1:17" x14ac:dyDescent="0.25">
      <c r="A138" s="5">
        <v>137</v>
      </c>
      <c r="B138" s="5">
        <v>138</v>
      </c>
      <c r="C138" s="2">
        <v>138</v>
      </c>
      <c r="D138" s="2" t="s">
        <v>163</v>
      </c>
      <c r="E138" s="2" t="str">
        <f>IFERROR(IF(OR(VLOOKUP(D138,'Sheet1 (3)'!$C:$F,4,FALSE)="RMH",VLOOKUP(D138,'Sheet1 (3)'!$C:$F,4,FALSE)="PKR",VLOOKUP(D138,'Sheet1 (3)'!$C:$F,4,FALSE)=""),"Non Pertanian","Pertanian"),"Non Pertanian")</f>
        <v>Non Pertanian</v>
      </c>
      <c r="F138" s="2" t="s">
        <v>18</v>
      </c>
      <c r="G138" s="2" t="str">
        <f>IFERROR("Sesuai dengan petunjuk pemilik tanah : "&amp;VLOOKUP(D138,'Sheet1 (3)'!$C:$D,2,FALSE),"")</f>
        <v>Sesuai dengan petunjuk pemilik tanah : Jalan</v>
      </c>
      <c r="H138" s="2" t="s">
        <v>625</v>
      </c>
      <c r="I138" s="2" t="s">
        <v>16</v>
      </c>
      <c r="J138" s="2" t="s">
        <v>16</v>
      </c>
      <c r="K138" s="2" t="s">
        <v>16</v>
      </c>
      <c r="L138" s="2" t="s">
        <v>16</v>
      </c>
      <c r="M138" s="2" t="s">
        <v>17</v>
      </c>
      <c r="N138" s="2" t="str">
        <f>IFERROR(IF(VLOOKUP(D138,'Sheet1 (3)'!$C:$F,4,FALSE)="","Tanah Perkampungan",CHOOSE(MATCH(VLOOKUP(D138,'Sheet1 (3)'!$C:$F,4,FALSE),{"PKR","RMH","SWH","KBN"},0),"Tanah Perkampungan","Permukiman","Tanah Persawahan","Tanah Kebun")),"Tanah Pekarangan")</f>
        <v>Tanah Perkampungan</v>
      </c>
      <c r="O138" s="2" t="str">
        <f>IF(IFERROR(VLOOKUP(D138,'Sheet1 (3)'!$C:$G,5,FALSE),"")="K1","Pengukuran Terestris yang pemetaannya diikatkan ke peta foto","Identifikasi batas bidang tanah diatas peta foto/citra")</f>
        <v>Identifikasi batas bidang tanah diatas peta foto/citra</v>
      </c>
      <c r="P138" s="2">
        <v>0.4</v>
      </c>
      <c r="Q138" s="2"/>
    </row>
    <row r="139" spans="1:17" x14ac:dyDescent="0.25">
      <c r="A139" s="5">
        <v>138</v>
      </c>
      <c r="B139" s="5">
        <v>139</v>
      </c>
      <c r="C139" s="2">
        <v>138</v>
      </c>
      <c r="D139" s="2" t="s">
        <v>83</v>
      </c>
      <c r="E139" s="2" t="str">
        <f>IFERROR(IF(OR(VLOOKUP(D139,'Sheet1 (3)'!$C:$F,4,FALSE)="RMH",VLOOKUP(D139,'Sheet1 (3)'!$C:$F,4,FALSE)="PKR",VLOOKUP(D139,'Sheet1 (3)'!$C:$F,4,FALSE)=""),"Non Pertanian","Pertanian"),"Non Pertanian")</f>
        <v>Non Pertanian</v>
      </c>
      <c r="F139" s="2" t="s">
        <v>18</v>
      </c>
      <c r="G139" s="2" t="str">
        <f>IFERROR("Sesuai dengan petunjuk pemilik tanah : "&amp;VLOOKUP(D139,'Sheet1 (3)'!$C:$D,2,FALSE),"")</f>
        <v>Sesuai dengan petunjuk pemilik tanah : Malik</v>
      </c>
      <c r="H139" s="2" t="s">
        <v>625</v>
      </c>
      <c r="I139" s="2" t="s">
        <v>16</v>
      </c>
      <c r="J139" s="2" t="s">
        <v>16</v>
      </c>
      <c r="K139" s="2" t="s">
        <v>16</v>
      </c>
      <c r="L139" s="2" t="s">
        <v>16</v>
      </c>
      <c r="M139" s="2" t="s">
        <v>17</v>
      </c>
      <c r="N139" s="2" t="str">
        <f>IFERROR(IF(VLOOKUP(D139,'Sheet1 (3)'!$C:$F,4,FALSE)="","Tanah Perkampungan",CHOOSE(MATCH(VLOOKUP(D139,'Sheet1 (3)'!$C:$F,4,FALSE),{"PKR","RMH","SWH","KBN"},0),"Tanah Perkampungan","Permukiman","Tanah Persawahan","Tanah Kebun")),"Tanah Pekarangan")</f>
        <v>Permukiman</v>
      </c>
      <c r="O139" s="2" t="str">
        <f>IF(IFERROR(VLOOKUP(D139,'Sheet1 (3)'!$C:$G,5,FALSE),"")="K1","Pengukuran Terestris yang pemetaannya diikatkan ke peta foto","Identifikasi batas bidang tanah diatas peta foto/citra")</f>
        <v>Identifikasi batas bidang tanah diatas peta foto/citra</v>
      </c>
      <c r="P139" s="2">
        <v>0.4</v>
      </c>
      <c r="Q139" s="2"/>
    </row>
    <row r="140" spans="1:17" x14ac:dyDescent="0.25">
      <c r="A140" s="5">
        <v>139</v>
      </c>
      <c r="B140" s="5">
        <v>140</v>
      </c>
      <c r="C140" s="2">
        <v>138</v>
      </c>
      <c r="D140" s="2" t="s">
        <v>148</v>
      </c>
      <c r="E140" s="2" t="str">
        <f>IFERROR(IF(OR(VLOOKUP(D140,'Sheet1 (3)'!$C:$F,4,FALSE)="RMH",VLOOKUP(D140,'Sheet1 (3)'!$C:$F,4,FALSE)="PKR",VLOOKUP(D140,'Sheet1 (3)'!$C:$F,4,FALSE)=""),"Non Pertanian","Pertanian"),"Non Pertanian")</f>
        <v>Pertanian</v>
      </c>
      <c r="F140" s="2" t="s">
        <v>18</v>
      </c>
      <c r="G140" s="2" t="str">
        <f>IFERROR("Sesuai dengan petunjuk pemilik tanah : "&amp;VLOOKUP(D140,'Sheet1 (3)'!$C:$D,2,FALSE),"")</f>
        <v>Sesuai dengan petunjuk pemilik tanah : Wafidah</v>
      </c>
      <c r="H140" s="2" t="s">
        <v>625</v>
      </c>
      <c r="I140" s="2" t="s">
        <v>16</v>
      </c>
      <c r="J140" s="2" t="s">
        <v>16</v>
      </c>
      <c r="K140" s="2" t="s">
        <v>16</v>
      </c>
      <c r="L140" s="2" t="s">
        <v>16</v>
      </c>
      <c r="M140" s="2" t="s">
        <v>17</v>
      </c>
      <c r="N140" s="2" t="str">
        <f>IFERROR(IF(VLOOKUP(D140,'Sheet1 (3)'!$C:$F,4,FALSE)="","Tanah Perkampungan",CHOOSE(MATCH(VLOOKUP(D140,'Sheet1 (3)'!$C:$F,4,FALSE),{"PKR","RMH","SWH","KBN"},0),"Tanah Perkampungan","Permukiman","Tanah Persawahan","Tanah Kebun")),"Tanah Pekarangan")</f>
        <v>Tanah Kebun</v>
      </c>
      <c r="O140" s="2" t="str">
        <f>IF(IFERROR(VLOOKUP(D140,'Sheet1 (3)'!$C:$G,5,FALSE),"")="K1","Pengukuran Terestris yang pemetaannya diikatkan ke peta foto","Identifikasi batas bidang tanah diatas peta foto/citra")</f>
        <v>Pengukuran Terestris yang pemetaannya diikatkan ke peta foto</v>
      </c>
      <c r="P140" s="2">
        <v>0.4</v>
      </c>
      <c r="Q140" s="2"/>
    </row>
    <row r="141" spans="1:17" x14ac:dyDescent="0.25">
      <c r="A141" s="5">
        <v>140</v>
      </c>
      <c r="B141" s="5">
        <v>141</v>
      </c>
      <c r="C141" s="2">
        <v>138</v>
      </c>
      <c r="D141" s="2" t="s">
        <v>73</v>
      </c>
      <c r="E141" s="2" t="str">
        <f>IFERROR(IF(OR(VLOOKUP(D141,'Sheet1 (3)'!$C:$F,4,FALSE)="RMH",VLOOKUP(D141,'Sheet1 (3)'!$C:$F,4,FALSE)="PKR",VLOOKUP(D141,'Sheet1 (3)'!$C:$F,4,FALSE)=""),"Non Pertanian","Pertanian"),"Non Pertanian")</f>
        <v>Pertanian</v>
      </c>
      <c r="F141" s="2" t="s">
        <v>18</v>
      </c>
      <c r="G141" s="2" t="str">
        <f>IFERROR("Sesuai dengan petunjuk pemilik tanah : "&amp;VLOOKUP(D141,'Sheet1 (3)'!$C:$D,2,FALSE),"")</f>
        <v>Sesuai dengan petunjuk pemilik tanah : Gustina</v>
      </c>
      <c r="H141" s="2" t="s">
        <v>625</v>
      </c>
      <c r="I141" s="2" t="s">
        <v>16</v>
      </c>
      <c r="J141" s="2" t="s">
        <v>16</v>
      </c>
      <c r="K141" s="2" t="s">
        <v>16</v>
      </c>
      <c r="L141" s="2" t="s">
        <v>16</v>
      </c>
      <c r="M141" s="2" t="s">
        <v>17</v>
      </c>
      <c r="N141" s="2" t="str">
        <f>IFERROR(IF(VLOOKUP(D141,'Sheet1 (3)'!$C:$F,4,FALSE)="","Tanah Perkampungan",CHOOSE(MATCH(VLOOKUP(D141,'Sheet1 (3)'!$C:$F,4,FALSE),{"PKR","RMH","SWH","KBN"},0),"Tanah Perkampungan","Permukiman","Tanah Persawahan","Tanah Kebun")),"Tanah Pekarangan")</f>
        <v>Tanah Kebun</v>
      </c>
      <c r="O141" s="2" t="str">
        <f>IF(IFERROR(VLOOKUP(D141,'Sheet1 (3)'!$C:$G,5,FALSE),"")="K1","Pengukuran Terestris yang pemetaannya diikatkan ke peta foto","Identifikasi batas bidang tanah diatas peta foto/citra")</f>
        <v>Pengukuran Terestris yang pemetaannya diikatkan ke peta foto</v>
      </c>
      <c r="P141" s="2">
        <v>0.4</v>
      </c>
      <c r="Q141" s="2"/>
    </row>
    <row r="142" spans="1:17" x14ac:dyDescent="0.25">
      <c r="A142" s="5">
        <v>141</v>
      </c>
      <c r="B142" s="5">
        <v>142</v>
      </c>
      <c r="C142" s="2">
        <v>138</v>
      </c>
      <c r="D142" s="2" t="s">
        <v>93</v>
      </c>
      <c r="E142" s="2" t="str">
        <f>IFERROR(IF(OR(VLOOKUP(D142,'Sheet1 (3)'!$C:$F,4,FALSE)="RMH",VLOOKUP(D142,'Sheet1 (3)'!$C:$F,4,FALSE)="PKR",VLOOKUP(D142,'Sheet1 (3)'!$C:$F,4,FALSE)=""),"Non Pertanian","Pertanian"),"Non Pertanian")</f>
        <v>Pertanian</v>
      </c>
      <c r="F142" s="2" t="s">
        <v>18</v>
      </c>
      <c r="G142" s="2" t="str">
        <f>IFERROR("Sesuai dengan petunjuk pemilik tanah : "&amp;VLOOKUP(D142,'Sheet1 (3)'!$C:$D,2,FALSE),"")</f>
        <v>Sesuai dengan petunjuk pemilik tanah : Hamri</v>
      </c>
      <c r="H142" s="2" t="s">
        <v>625</v>
      </c>
      <c r="I142" s="2" t="s">
        <v>16</v>
      </c>
      <c r="J142" s="2" t="s">
        <v>16</v>
      </c>
      <c r="K142" s="2" t="s">
        <v>16</v>
      </c>
      <c r="L142" s="2" t="s">
        <v>16</v>
      </c>
      <c r="M142" s="2" t="s">
        <v>17</v>
      </c>
      <c r="N142" s="2" t="str">
        <f>IFERROR(IF(VLOOKUP(D142,'Sheet1 (3)'!$C:$F,4,FALSE)="","Tanah Perkampungan",CHOOSE(MATCH(VLOOKUP(D142,'Sheet1 (3)'!$C:$F,4,FALSE),{"PKR","RMH","SWH","KBN"},0),"Tanah Perkampungan","Permukiman","Tanah Persawahan","Tanah Kebun")),"Tanah Pekarangan")</f>
        <v>Tanah Kebun</v>
      </c>
      <c r="O142" s="2" t="str">
        <f>IF(IFERROR(VLOOKUP(D142,'Sheet1 (3)'!$C:$G,5,FALSE),"")="K1","Pengukuran Terestris yang pemetaannya diikatkan ke peta foto","Identifikasi batas bidang tanah diatas peta foto/citra")</f>
        <v>Identifikasi batas bidang tanah diatas peta foto/citra</v>
      </c>
      <c r="P142" s="2">
        <v>0.4</v>
      </c>
      <c r="Q142" s="2"/>
    </row>
    <row r="143" spans="1:17" x14ac:dyDescent="0.25">
      <c r="A143" s="5">
        <v>142</v>
      </c>
      <c r="B143" s="5">
        <v>143</v>
      </c>
      <c r="C143" s="2">
        <v>138</v>
      </c>
      <c r="D143" s="2" t="s">
        <v>94</v>
      </c>
      <c r="E143" s="2" t="str">
        <f>IFERROR(IF(OR(VLOOKUP(D143,'Sheet1 (3)'!$C:$F,4,FALSE)="RMH",VLOOKUP(D143,'Sheet1 (3)'!$C:$F,4,FALSE)="PKR",VLOOKUP(D143,'Sheet1 (3)'!$C:$F,4,FALSE)=""),"Non Pertanian","Pertanian"),"Non Pertanian")</f>
        <v>Pertanian</v>
      </c>
      <c r="F143" s="2" t="s">
        <v>18</v>
      </c>
      <c r="G143" s="2" t="str">
        <f>IFERROR("Sesuai dengan petunjuk pemilik tanah : "&amp;VLOOKUP(D143,'Sheet1 (3)'!$C:$D,2,FALSE),"")</f>
        <v>Sesuai dengan petunjuk pemilik tanah : Balkhi</v>
      </c>
      <c r="H143" s="2" t="s">
        <v>625</v>
      </c>
      <c r="I143" s="2" t="s">
        <v>16</v>
      </c>
      <c r="J143" s="2" t="s">
        <v>16</v>
      </c>
      <c r="K143" s="2" t="s">
        <v>16</v>
      </c>
      <c r="L143" s="2" t="s">
        <v>16</v>
      </c>
      <c r="M143" s="2" t="s">
        <v>17</v>
      </c>
      <c r="N143" s="2" t="str">
        <f>IFERROR(IF(VLOOKUP(D143,'Sheet1 (3)'!$C:$F,4,FALSE)="","Tanah Perkampungan",CHOOSE(MATCH(VLOOKUP(D143,'Sheet1 (3)'!$C:$F,4,FALSE),{"PKR","RMH","SWH","KBN"},0),"Tanah Perkampungan","Permukiman","Tanah Persawahan","Tanah Kebun")),"Tanah Pekarangan")</f>
        <v>Tanah Kebun</v>
      </c>
      <c r="O143" s="2" t="str">
        <f>IF(IFERROR(VLOOKUP(D143,'Sheet1 (3)'!$C:$G,5,FALSE),"")="K1","Pengukuran Terestris yang pemetaannya diikatkan ke peta foto","Identifikasi batas bidang tanah diatas peta foto/citra")</f>
        <v>Identifikasi batas bidang tanah diatas peta foto/citra</v>
      </c>
      <c r="P143" s="2">
        <v>0.4</v>
      </c>
      <c r="Q143" s="2"/>
    </row>
    <row r="144" spans="1:17" x14ac:dyDescent="0.25">
      <c r="A144" s="5">
        <v>143</v>
      </c>
      <c r="B144" s="5">
        <v>144</v>
      </c>
      <c r="C144" s="2">
        <v>138</v>
      </c>
      <c r="D144" s="2" t="s">
        <v>149</v>
      </c>
      <c r="E144" s="2" t="str">
        <f>IFERROR(IF(OR(VLOOKUP(D144,'Sheet1 (3)'!$C:$F,4,FALSE)="RMH",VLOOKUP(D144,'Sheet1 (3)'!$C:$F,4,FALSE)="PKR",VLOOKUP(D144,'Sheet1 (3)'!$C:$F,4,FALSE)=""),"Non Pertanian","Pertanian"),"Non Pertanian")</f>
        <v>Non Pertanian</v>
      </c>
      <c r="F144" s="2" t="s">
        <v>18</v>
      </c>
      <c r="G144" s="2" t="str">
        <f>IFERROR("Sesuai dengan petunjuk pemilik tanah : "&amp;VLOOKUP(D144,'Sheet1 (3)'!$C:$D,2,FALSE),"")</f>
        <v>Sesuai dengan petunjuk pemilik tanah : Jalan</v>
      </c>
      <c r="H144" s="2" t="s">
        <v>625</v>
      </c>
      <c r="I144" s="2" t="s">
        <v>16</v>
      </c>
      <c r="J144" s="2" t="s">
        <v>16</v>
      </c>
      <c r="K144" s="2" t="s">
        <v>16</v>
      </c>
      <c r="L144" s="2" t="s">
        <v>16</v>
      </c>
      <c r="M144" s="2" t="s">
        <v>17</v>
      </c>
      <c r="N144" s="2" t="str">
        <f>IFERROR(IF(VLOOKUP(D144,'Sheet1 (3)'!$C:$F,4,FALSE)="","Tanah Perkampungan",CHOOSE(MATCH(VLOOKUP(D144,'Sheet1 (3)'!$C:$F,4,FALSE),{"PKR","RMH","SWH","KBN"},0),"Tanah Perkampungan","Permukiman","Tanah Persawahan","Tanah Kebun")),"Tanah Pekarangan")</f>
        <v>Tanah Perkampungan</v>
      </c>
      <c r="O144" s="2" t="str">
        <f>IF(IFERROR(VLOOKUP(D144,'Sheet1 (3)'!$C:$G,5,FALSE),"")="K1","Pengukuran Terestris yang pemetaannya diikatkan ke peta foto","Identifikasi batas bidang tanah diatas peta foto/citra")</f>
        <v>Identifikasi batas bidang tanah diatas peta foto/citra</v>
      </c>
      <c r="P144" s="2">
        <v>0.4</v>
      </c>
      <c r="Q144" s="2"/>
    </row>
    <row r="145" spans="1:17" x14ac:dyDescent="0.25">
      <c r="A145" s="5">
        <v>144</v>
      </c>
      <c r="B145" s="5">
        <v>145</v>
      </c>
      <c r="C145" s="2">
        <v>138</v>
      </c>
      <c r="D145" s="2" t="s">
        <v>128</v>
      </c>
      <c r="E145" s="2" t="str">
        <f>IFERROR(IF(OR(VLOOKUP(D145,'Sheet1 (3)'!$C:$F,4,FALSE)="RMH",VLOOKUP(D145,'Sheet1 (3)'!$C:$F,4,FALSE)="PKR",VLOOKUP(D145,'Sheet1 (3)'!$C:$F,4,FALSE)=""),"Non Pertanian","Pertanian"),"Non Pertanian")</f>
        <v>Pertanian</v>
      </c>
      <c r="F145" s="2" t="s">
        <v>18</v>
      </c>
      <c r="G145" s="2" t="str">
        <f>IFERROR("Sesuai dengan petunjuk pemilik tanah : "&amp;VLOOKUP(D145,'Sheet1 (3)'!$C:$D,2,FALSE),"")</f>
        <v>Sesuai dengan petunjuk pemilik tanah : Nasobar</v>
      </c>
      <c r="H145" s="2" t="s">
        <v>625</v>
      </c>
      <c r="I145" s="2" t="s">
        <v>16</v>
      </c>
      <c r="J145" s="2" t="s">
        <v>16</v>
      </c>
      <c r="K145" s="2" t="s">
        <v>16</v>
      </c>
      <c r="L145" s="2" t="s">
        <v>16</v>
      </c>
      <c r="M145" s="2" t="s">
        <v>17</v>
      </c>
      <c r="N145" s="2" t="str">
        <f>IFERROR(IF(VLOOKUP(D145,'Sheet1 (3)'!$C:$F,4,FALSE)="","Tanah Perkampungan",CHOOSE(MATCH(VLOOKUP(D145,'Sheet1 (3)'!$C:$F,4,FALSE),{"PKR","RMH","SWH","KBN"},0),"Tanah Perkampungan","Permukiman","Tanah Persawahan","Tanah Kebun")),"Tanah Pekarangan")</f>
        <v>Tanah Kebun</v>
      </c>
      <c r="O145" s="2" t="str">
        <f>IF(IFERROR(VLOOKUP(D145,'Sheet1 (3)'!$C:$G,5,FALSE),"")="K1","Pengukuran Terestris yang pemetaannya diikatkan ke peta foto","Identifikasi batas bidang tanah diatas peta foto/citra")</f>
        <v>Pengukuran Terestris yang pemetaannya diikatkan ke peta foto</v>
      </c>
      <c r="P145" s="2">
        <v>0.4</v>
      </c>
      <c r="Q145" s="2"/>
    </row>
    <row r="146" spans="1:17" x14ac:dyDescent="0.25">
      <c r="A146" s="5">
        <v>145</v>
      </c>
      <c r="B146" s="5">
        <v>146</v>
      </c>
      <c r="C146" s="2">
        <v>138</v>
      </c>
      <c r="D146" s="2" t="s">
        <v>60</v>
      </c>
      <c r="E146" s="2" t="str">
        <f>IFERROR(IF(OR(VLOOKUP(D146,'Sheet1 (3)'!$C:$F,4,FALSE)="RMH",VLOOKUP(D146,'Sheet1 (3)'!$C:$F,4,FALSE)="PKR",VLOOKUP(D146,'Sheet1 (3)'!$C:$F,4,FALSE)=""),"Non Pertanian","Pertanian"),"Non Pertanian")</f>
        <v>Pertanian</v>
      </c>
      <c r="F146" s="2" t="s">
        <v>18</v>
      </c>
      <c r="G146" s="2" t="str">
        <f>IFERROR("Sesuai dengan petunjuk pemilik tanah : "&amp;VLOOKUP(D146,'Sheet1 (3)'!$C:$D,2,FALSE),"")</f>
        <v>Sesuai dengan petunjuk pemilik tanah : Nuraliah</v>
      </c>
      <c r="H146" s="2" t="s">
        <v>625</v>
      </c>
      <c r="I146" s="2" t="s">
        <v>16</v>
      </c>
      <c r="J146" s="2" t="s">
        <v>16</v>
      </c>
      <c r="K146" s="2" t="s">
        <v>16</v>
      </c>
      <c r="L146" s="2" t="s">
        <v>16</v>
      </c>
      <c r="M146" s="2" t="s">
        <v>17</v>
      </c>
      <c r="N146" s="2" t="str">
        <f>IFERROR(IF(VLOOKUP(D146,'Sheet1 (3)'!$C:$F,4,FALSE)="","Tanah Perkampungan",CHOOSE(MATCH(VLOOKUP(D146,'Sheet1 (3)'!$C:$F,4,FALSE),{"PKR","RMH","SWH","KBN"},0),"Tanah Perkampungan","Permukiman","Tanah Persawahan","Tanah Kebun")),"Tanah Pekarangan")</f>
        <v>Tanah Kebun</v>
      </c>
      <c r="O146" s="2" t="str">
        <f>IF(IFERROR(VLOOKUP(D146,'Sheet1 (3)'!$C:$G,5,FALSE),"")="K1","Pengukuran Terestris yang pemetaannya diikatkan ke peta foto","Identifikasi batas bidang tanah diatas peta foto/citra")</f>
        <v>Identifikasi batas bidang tanah diatas peta foto/citra</v>
      </c>
      <c r="P146" s="2">
        <v>0.4</v>
      </c>
      <c r="Q146" s="2"/>
    </row>
    <row r="147" spans="1:17" x14ac:dyDescent="0.25">
      <c r="A147" s="5">
        <v>146</v>
      </c>
      <c r="B147" s="5">
        <v>147</v>
      </c>
      <c r="C147" s="2">
        <v>138</v>
      </c>
      <c r="D147" s="2" t="s">
        <v>79</v>
      </c>
      <c r="E147" s="2" t="str">
        <f>IFERROR(IF(OR(VLOOKUP(D147,'Sheet1 (3)'!$C:$F,4,FALSE)="RMH",VLOOKUP(D147,'Sheet1 (3)'!$C:$F,4,FALSE)="PKR",VLOOKUP(D147,'Sheet1 (3)'!$C:$F,4,FALSE)=""),"Non Pertanian","Pertanian"),"Non Pertanian")</f>
        <v>Pertanian</v>
      </c>
      <c r="F147" s="2" t="s">
        <v>18</v>
      </c>
      <c r="G147" s="2" t="str">
        <f>IFERROR("Sesuai dengan petunjuk pemilik tanah : "&amp;VLOOKUP(D147,'Sheet1 (3)'!$C:$D,2,FALSE),"")</f>
        <v>Sesuai dengan petunjuk pemilik tanah : Munadi</v>
      </c>
      <c r="H147" s="2" t="s">
        <v>625</v>
      </c>
      <c r="I147" s="2" t="s">
        <v>16</v>
      </c>
      <c r="J147" s="2" t="s">
        <v>16</v>
      </c>
      <c r="K147" s="2" t="s">
        <v>16</v>
      </c>
      <c r="L147" s="2" t="s">
        <v>16</v>
      </c>
      <c r="M147" s="2" t="s">
        <v>17</v>
      </c>
      <c r="N147" s="2" t="str">
        <f>IFERROR(IF(VLOOKUP(D147,'Sheet1 (3)'!$C:$F,4,FALSE)="","Tanah Perkampungan",CHOOSE(MATCH(VLOOKUP(D147,'Sheet1 (3)'!$C:$F,4,FALSE),{"PKR","RMH","SWH","KBN"},0),"Tanah Perkampungan","Permukiman","Tanah Persawahan","Tanah Kebun")),"Tanah Pekarangan")</f>
        <v>Tanah Kebun</v>
      </c>
      <c r="O147" s="2" t="str">
        <f>IF(IFERROR(VLOOKUP(D147,'Sheet1 (3)'!$C:$G,5,FALSE),"")="K1","Pengukuran Terestris yang pemetaannya diikatkan ke peta foto","Identifikasi batas bidang tanah diatas peta foto/citra")</f>
        <v>Identifikasi batas bidang tanah diatas peta foto/citra</v>
      </c>
      <c r="P147" s="2">
        <v>0.4</v>
      </c>
      <c r="Q147" s="2"/>
    </row>
    <row r="148" spans="1:17" x14ac:dyDescent="0.25">
      <c r="A148" s="5">
        <v>147</v>
      </c>
      <c r="B148" s="5">
        <v>148</v>
      </c>
      <c r="C148" s="2">
        <v>138</v>
      </c>
      <c r="D148" s="2" t="s">
        <v>224</v>
      </c>
      <c r="E148" s="2" t="str">
        <f>IFERROR(IF(OR(VLOOKUP(D148,'Sheet1 (3)'!$C:$F,4,FALSE)="RMH",VLOOKUP(D148,'Sheet1 (3)'!$C:$F,4,FALSE)="PKR",VLOOKUP(D148,'Sheet1 (3)'!$C:$F,4,FALSE)=""),"Non Pertanian","Pertanian"),"Non Pertanian")</f>
        <v>Non Pertanian</v>
      </c>
      <c r="F148" s="2" t="s">
        <v>18</v>
      </c>
      <c r="G148" s="2" t="str">
        <f>IFERROR("Sesuai dengan petunjuk pemilik tanah : "&amp;VLOOKUP(D148,'Sheet1 (3)'!$C:$D,2,FALSE),"")</f>
        <v>Sesuai dengan petunjuk pemilik tanah : Jalan</v>
      </c>
      <c r="H148" s="2" t="s">
        <v>625</v>
      </c>
      <c r="I148" s="2" t="s">
        <v>16</v>
      </c>
      <c r="J148" s="2" t="s">
        <v>16</v>
      </c>
      <c r="K148" s="2" t="s">
        <v>16</v>
      </c>
      <c r="L148" s="2" t="s">
        <v>16</v>
      </c>
      <c r="M148" s="2" t="s">
        <v>17</v>
      </c>
      <c r="N148" s="2" t="str">
        <f>IFERROR(IF(VLOOKUP(D148,'Sheet1 (3)'!$C:$F,4,FALSE)="","Tanah Perkampungan",CHOOSE(MATCH(VLOOKUP(D148,'Sheet1 (3)'!$C:$F,4,FALSE),{"PKR","RMH","SWH","KBN"},0),"Tanah Perkampungan","Permukiman","Tanah Persawahan","Tanah Kebun")),"Tanah Pekarangan")</f>
        <v>Tanah Perkampungan</v>
      </c>
      <c r="O148" s="2" t="str">
        <f>IF(IFERROR(VLOOKUP(D148,'Sheet1 (3)'!$C:$G,5,FALSE),"")="K1","Pengukuran Terestris yang pemetaannya diikatkan ke peta foto","Identifikasi batas bidang tanah diatas peta foto/citra")</f>
        <v>Identifikasi batas bidang tanah diatas peta foto/citra</v>
      </c>
      <c r="P148" s="2">
        <v>0.4</v>
      </c>
      <c r="Q148" s="2"/>
    </row>
    <row r="149" spans="1:17" x14ac:dyDescent="0.25">
      <c r="A149" s="5">
        <v>148</v>
      </c>
      <c r="B149" s="5">
        <v>149</v>
      </c>
      <c r="C149" s="2">
        <v>138</v>
      </c>
      <c r="D149" s="2" t="s">
        <v>122</v>
      </c>
      <c r="E149" s="2" t="str">
        <f>IFERROR(IF(OR(VLOOKUP(D149,'Sheet1 (3)'!$C:$F,4,FALSE)="RMH",VLOOKUP(D149,'Sheet1 (3)'!$C:$F,4,FALSE)="PKR",VLOOKUP(D149,'Sheet1 (3)'!$C:$F,4,FALSE)=""),"Non Pertanian","Pertanian"),"Non Pertanian")</f>
        <v>Non Pertanian</v>
      </c>
      <c r="F149" s="2" t="s">
        <v>18</v>
      </c>
      <c r="G149" s="2" t="str">
        <f>IFERROR("Sesuai dengan petunjuk pemilik tanah : "&amp;VLOOKUP(D149,'Sheet1 (3)'!$C:$D,2,FALSE),"")</f>
        <v>Sesuai dengan petunjuk pemilik tanah : Ridwan</v>
      </c>
      <c r="H149" s="2" t="s">
        <v>625</v>
      </c>
      <c r="I149" s="2" t="s">
        <v>16</v>
      </c>
      <c r="J149" s="2" t="s">
        <v>16</v>
      </c>
      <c r="K149" s="2" t="s">
        <v>16</v>
      </c>
      <c r="L149" s="2" t="s">
        <v>16</v>
      </c>
      <c r="M149" s="2" t="s">
        <v>17</v>
      </c>
      <c r="N149" s="2" t="str">
        <f>IFERROR(IF(VLOOKUP(D149,'Sheet1 (3)'!$C:$F,4,FALSE)="","Tanah Perkampungan",CHOOSE(MATCH(VLOOKUP(D149,'Sheet1 (3)'!$C:$F,4,FALSE),{"PKR","RMH","SWH","KBN"},0),"Tanah Perkampungan","Permukiman","Tanah Persawahan","Tanah Kebun")),"Tanah Pekarangan")</f>
        <v>Permukiman</v>
      </c>
      <c r="O149" s="2" t="str">
        <f>IF(IFERROR(VLOOKUP(D149,'Sheet1 (3)'!$C:$G,5,FALSE),"")="K1","Pengukuran Terestris yang pemetaannya diikatkan ke peta foto","Identifikasi batas bidang tanah diatas peta foto/citra")</f>
        <v>Identifikasi batas bidang tanah diatas peta foto/citra</v>
      </c>
      <c r="P149" s="2">
        <v>0.4</v>
      </c>
      <c r="Q149" s="2"/>
    </row>
    <row r="150" spans="1:17" x14ac:dyDescent="0.25">
      <c r="A150" s="5">
        <v>149</v>
      </c>
      <c r="B150" s="5">
        <v>150</v>
      </c>
      <c r="C150" s="2">
        <v>138</v>
      </c>
      <c r="D150" s="2" t="s">
        <v>55</v>
      </c>
      <c r="E150" s="2" t="str">
        <f>IFERROR(IF(OR(VLOOKUP(D150,'Sheet1 (3)'!$C:$F,4,FALSE)="RMH",VLOOKUP(D150,'Sheet1 (3)'!$C:$F,4,FALSE)="PKR",VLOOKUP(D150,'Sheet1 (3)'!$C:$F,4,FALSE)=""),"Non Pertanian","Pertanian"),"Non Pertanian")</f>
        <v>Pertanian</v>
      </c>
      <c r="F150" s="2" t="s">
        <v>18</v>
      </c>
      <c r="G150" s="2" t="str">
        <f>IFERROR("Sesuai dengan petunjuk pemilik tanah : "&amp;VLOOKUP(D150,'Sheet1 (3)'!$C:$D,2,FALSE),"")</f>
        <v>Sesuai dengan petunjuk pemilik tanah : Sunardi</v>
      </c>
      <c r="H150" s="2" t="s">
        <v>625</v>
      </c>
      <c r="I150" s="2" t="s">
        <v>16</v>
      </c>
      <c r="J150" s="2" t="s">
        <v>16</v>
      </c>
      <c r="K150" s="2" t="s">
        <v>16</v>
      </c>
      <c r="L150" s="2" t="s">
        <v>16</v>
      </c>
      <c r="M150" s="2" t="s">
        <v>17</v>
      </c>
      <c r="N150" s="2" t="str">
        <f>IFERROR(IF(VLOOKUP(D150,'Sheet1 (3)'!$C:$F,4,FALSE)="","Tanah Perkampungan",CHOOSE(MATCH(VLOOKUP(D150,'Sheet1 (3)'!$C:$F,4,FALSE),{"PKR","RMH","SWH","KBN"},0),"Tanah Perkampungan","Permukiman","Tanah Persawahan","Tanah Kebun")),"Tanah Pekarangan")</f>
        <v>Tanah Kebun</v>
      </c>
      <c r="O150" s="2" t="str">
        <f>IF(IFERROR(VLOOKUP(D150,'Sheet1 (3)'!$C:$G,5,FALSE),"")="K1","Pengukuran Terestris yang pemetaannya diikatkan ke peta foto","Identifikasi batas bidang tanah diatas peta foto/citra")</f>
        <v>Identifikasi batas bidang tanah diatas peta foto/citra</v>
      </c>
      <c r="P150" s="2">
        <v>0.4</v>
      </c>
      <c r="Q150" s="2"/>
    </row>
    <row r="151" spans="1:17" x14ac:dyDescent="0.25">
      <c r="A151" s="5">
        <v>150</v>
      </c>
      <c r="B151" s="5">
        <v>151</v>
      </c>
      <c r="C151" s="2">
        <v>138</v>
      </c>
      <c r="D151" s="2" t="s">
        <v>235</v>
      </c>
      <c r="E151" s="2" t="str">
        <f>IFERROR(IF(OR(VLOOKUP(D151,'Sheet1 (3)'!$C:$F,4,FALSE)="RMH",VLOOKUP(D151,'Sheet1 (3)'!$C:$F,4,FALSE)="PKR",VLOOKUP(D151,'Sheet1 (3)'!$C:$F,4,FALSE)=""),"Non Pertanian","Pertanian"),"Non Pertanian")</f>
        <v>Pertanian</v>
      </c>
      <c r="F151" s="2" t="s">
        <v>18</v>
      </c>
      <c r="G151" s="2" t="str">
        <f>IFERROR("Sesuai dengan petunjuk pemilik tanah : "&amp;VLOOKUP(D151,'Sheet1 (3)'!$C:$D,2,FALSE),"")</f>
        <v>Sesuai dengan petunjuk pemilik tanah : Balkhi</v>
      </c>
      <c r="H151" s="2" t="s">
        <v>625</v>
      </c>
      <c r="I151" s="2" t="s">
        <v>16</v>
      </c>
      <c r="J151" s="2" t="s">
        <v>16</v>
      </c>
      <c r="K151" s="2" t="s">
        <v>16</v>
      </c>
      <c r="L151" s="2" t="s">
        <v>16</v>
      </c>
      <c r="M151" s="2" t="s">
        <v>17</v>
      </c>
      <c r="N151" s="2" t="str">
        <f>IFERROR(IF(VLOOKUP(D151,'Sheet1 (3)'!$C:$F,4,FALSE)="","Tanah Perkampungan",CHOOSE(MATCH(VLOOKUP(D151,'Sheet1 (3)'!$C:$F,4,FALSE),{"PKR","RMH","SWH","KBN"},0),"Tanah Perkampungan","Permukiman","Tanah Persawahan","Tanah Kebun")),"Tanah Pekarangan")</f>
        <v>Tanah Kebun</v>
      </c>
      <c r="O151" s="2" t="str">
        <f>IF(IFERROR(VLOOKUP(D151,'Sheet1 (3)'!$C:$G,5,FALSE),"")="K1","Pengukuran Terestris yang pemetaannya diikatkan ke peta foto","Identifikasi batas bidang tanah diatas peta foto/citra")</f>
        <v>Identifikasi batas bidang tanah diatas peta foto/citra</v>
      </c>
      <c r="P151" s="2">
        <v>0.4</v>
      </c>
      <c r="Q151" s="2"/>
    </row>
    <row r="152" spans="1:17" x14ac:dyDescent="0.25">
      <c r="A152" s="5">
        <v>151</v>
      </c>
      <c r="B152" s="5">
        <v>152</v>
      </c>
      <c r="C152" s="2">
        <v>138</v>
      </c>
      <c r="D152" s="2" t="s">
        <v>61</v>
      </c>
      <c r="E152" s="2" t="str">
        <f>IFERROR(IF(OR(VLOOKUP(D152,'Sheet1 (3)'!$C:$F,4,FALSE)="RMH",VLOOKUP(D152,'Sheet1 (3)'!$C:$F,4,FALSE)="PKR",VLOOKUP(D152,'Sheet1 (3)'!$C:$F,4,FALSE)=""),"Non Pertanian","Pertanian"),"Non Pertanian")</f>
        <v>Pertanian</v>
      </c>
      <c r="F152" s="2" t="s">
        <v>18</v>
      </c>
      <c r="G152" s="2" t="str">
        <f>IFERROR("Sesuai dengan petunjuk pemilik tanah : "&amp;VLOOKUP(D152,'Sheet1 (3)'!$C:$D,2,FALSE),"")</f>
        <v xml:space="preserve">Sesuai dengan petunjuk pemilik tanah : Atri Sinta </v>
      </c>
      <c r="H152" s="2" t="s">
        <v>625</v>
      </c>
      <c r="I152" s="2" t="s">
        <v>16</v>
      </c>
      <c r="J152" s="2" t="s">
        <v>16</v>
      </c>
      <c r="K152" s="2" t="s">
        <v>16</v>
      </c>
      <c r="L152" s="2" t="s">
        <v>16</v>
      </c>
      <c r="M152" s="2" t="s">
        <v>17</v>
      </c>
      <c r="N152" s="2" t="str">
        <f>IFERROR(IF(VLOOKUP(D152,'Sheet1 (3)'!$C:$F,4,FALSE)="","Tanah Perkampungan",CHOOSE(MATCH(VLOOKUP(D152,'Sheet1 (3)'!$C:$F,4,FALSE),{"PKR","RMH","SWH","KBN"},0),"Tanah Perkampungan","Permukiman","Tanah Persawahan","Tanah Kebun")),"Tanah Pekarangan")</f>
        <v>Tanah Kebun</v>
      </c>
      <c r="O152" s="2" t="str">
        <f>IF(IFERROR(VLOOKUP(D152,'Sheet1 (3)'!$C:$G,5,FALSE),"")="K1","Pengukuran Terestris yang pemetaannya diikatkan ke peta foto","Identifikasi batas bidang tanah diatas peta foto/citra")</f>
        <v>Identifikasi batas bidang tanah diatas peta foto/citra</v>
      </c>
      <c r="P152" s="2">
        <v>0.4</v>
      </c>
      <c r="Q152" s="2"/>
    </row>
    <row r="153" spans="1:17" x14ac:dyDescent="0.25">
      <c r="A153" s="5">
        <v>152</v>
      </c>
      <c r="B153" s="5">
        <v>153</v>
      </c>
      <c r="C153" s="2">
        <v>138</v>
      </c>
      <c r="D153" s="2" t="s">
        <v>46</v>
      </c>
      <c r="E153" s="2" t="str">
        <f>IFERROR(IF(OR(VLOOKUP(D153,'Sheet1 (3)'!$C:$F,4,FALSE)="RMH",VLOOKUP(D153,'Sheet1 (3)'!$C:$F,4,FALSE)="PKR",VLOOKUP(D153,'Sheet1 (3)'!$C:$F,4,FALSE)=""),"Non Pertanian","Pertanian"),"Non Pertanian")</f>
        <v>Pertanian</v>
      </c>
      <c r="F153" s="2" t="s">
        <v>18</v>
      </c>
      <c r="G153" s="2" t="str">
        <f>IFERROR("Sesuai dengan petunjuk pemilik tanah : "&amp;VLOOKUP(D153,'Sheet1 (3)'!$C:$D,2,FALSE),"")</f>
        <v>Sesuai dengan petunjuk pemilik tanah : Makam</v>
      </c>
      <c r="H153" s="2" t="s">
        <v>625</v>
      </c>
      <c r="I153" s="2" t="s">
        <v>16</v>
      </c>
      <c r="J153" s="2" t="s">
        <v>16</v>
      </c>
      <c r="K153" s="2" t="s">
        <v>16</v>
      </c>
      <c r="L153" s="2" t="s">
        <v>16</v>
      </c>
      <c r="M153" s="2" t="s">
        <v>17</v>
      </c>
      <c r="N153" s="2" t="str">
        <f>IFERROR(IF(VLOOKUP(D153,'Sheet1 (3)'!$C:$F,4,FALSE)="","Tanah Perkampungan",CHOOSE(MATCH(VLOOKUP(D153,'Sheet1 (3)'!$C:$F,4,FALSE),{"PKR","RMH","SWH","KBN"},0),"Tanah Perkampungan","Permukiman","Tanah Persawahan","Tanah Kebun")),"Tanah Pekarangan")</f>
        <v>Tanah Kebun</v>
      </c>
      <c r="O153" s="2" t="str">
        <f>IF(IFERROR(VLOOKUP(D153,'Sheet1 (3)'!$C:$G,5,FALSE),"")="K1","Pengukuran Terestris yang pemetaannya diikatkan ke peta foto","Identifikasi batas bidang tanah diatas peta foto/citra")</f>
        <v>Identifikasi batas bidang tanah diatas peta foto/citra</v>
      </c>
      <c r="P153" s="2">
        <v>0.4</v>
      </c>
      <c r="Q153" s="2"/>
    </row>
    <row r="154" spans="1:17" x14ac:dyDescent="0.25">
      <c r="A154" s="5">
        <v>153</v>
      </c>
      <c r="B154" s="5">
        <v>154</v>
      </c>
      <c r="C154" s="2">
        <v>138</v>
      </c>
      <c r="D154" s="2" t="s">
        <v>72</v>
      </c>
      <c r="E154" s="2" t="str">
        <f>IFERROR(IF(OR(VLOOKUP(D154,'Sheet1 (3)'!$C:$F,4,FALSE)="RMH",VLOOKUP(D154,'Sheet1 (3)'!$C:$F,4,FALSE)="PKR",VLOOKUP(D154,'Sheet1 (3)'!$C:$F,4,FALSE)=""),"Non Pertanian","Pertanian"),"Non Pertanian")</f>
        <v>Pertanian</v>
      </c>
      <c r="F154" s="2" t="s">
        <v>18</v>
      </c>
      <c r="G154" s="2" t="str">
        <f>IFERROR("Sesuai dengan petunjuk pemilik tanah : "&amp;VLOOKUP(D154,'Sheet1 (3)'!$C:$D,2,FALSE),"")</f>
        <v>Sesuai dengan petunjuk pemilik tanah : Wafidah</v>
      </c>
      <c r="H154" s="2" t="s">
        <v>625</v>
      </c>
      <c r="I154" s="2" t="s">
        <v>16</v>
      </c>
      <c r="J154" s="2" t="s">
        <v>16</v>
      </c>
      <c r="K154" s="2" t="s">
        <v>16</v>
      </c>
      <c r="L154" s="2" t="s">
        <v>16</v>
      </c>
      <c r="M154" s="2" t="s">
        <v>17</v>
      </c>
      <c r="N154" s="2" t="str">
        <f>IFERROR(IF(VLOOKUP(D154,'Sheet1 (3)'!$C:$F,4,FALSE)="","Tanah Perkampungan",CHOOSE(MATCH(VLOOKUP(D154,'Sheet1 (3)'!$C:$F,4,FALSE),{"PKR","RMH","SWH","KBN"},0),"Tanah Perkampungan","Permukiman","Tanah Persawahan","Tanah Kebun")),"Tanah Pekarangan")</f>
        <v>Tanah Kebun</v>
      </c>
      <c r="O154" s="2" t="str">
        <f>IF(IFERROR(VLOOKUP(D154,'Sheet1 (3)'!$C:$G,5,FALSE),"")="K1","Pengukuran Terestris yang pemetaannya diikatkan ke peta foto","Identifikasi batas bidang tanah diatas peta foto/citra")</f>
        <v>Pengukuran Terestris yang pemetaannya diikatkan ke peta foto</v>
      </c>
      <c r="P154" s="2">
        <v>0.4</v>
      </c>
      <c r="Q154" s="2"/>
    </row>
    <row r="155" spans="1:17" x14ac:dyDescent="0.25">
      <c r="A155" s="5">
        <v>154</v>
      </c>
      <c r="B155" s="5">
        <v>155</v>
      </c>
      <c r="C155" s="2">
        <v>138</v>
      </c>
      <c r="D155" s="2" t="s">
        <v>58</v>
      </c>
      <c r="E155" s="2" t="str">
        <f>IFERROR(IF(OR(VLOOKUP(D155,'Sheet1 (3)'!$C:$F,4,FALSE)="RMH",VLOOKUP(D155,'Sheet1 (3)'!$C:$F,4,FALSE)="PKR",VLOOKUP(D155,'Sheet1 (3)'!$C:$F,4,FALSE)=""),"Non Pertanian","Pertanian"),"Non Pertanian")</f>
        <v>Pertanian</v>
      </c>
      <c r="F155" s="2" t="s">
        <v>18</v>
      </c>
      <c r="G155" s="2" t="str">
        <f>IFERROR("Sesuai dengan petunjuk pemilik tanah : "&amp;VLOOKUP(D155,'Sheet1 (3)'!$C:$D,2,FALSE),"")</f>
        <v>Sesuai dengan petunjuk pemilik tanah : Yanto</v>
      </c>
      <c r="H155" s="2" t="s">
        <v>625</v>
      </c>
      <c r="I155" s="2" t="s">
        <v>16</v>
      </c>
      <c r="J155" s="2" t="s">
        <v>16</v>
      </c>
      <c r="K155" s="2" t="s">
        <v>16</v>
      </c>
      <c r="L155" s="2" t="s">
        <v>16</v>
      </c>
      <c r="M155" s="2" t="s">
        <v>17</v>
      </c>
      <c r="N155" s="2" t="str">
        <f>IFERROR(IF(VLOOKUP(D155,'Sheet1 (3)'!$C:$F,4,FALSE)="","Tanah Perkampungan",CHOOSE(MATCH(VLOOKUP(D155,'Sheet1 (3)'!$C:$F,4,FALSE),{"PKR","RMH","SWH","KBN"},0),"Tanah Perkampungan","Permukiman","Tanah Persawahan","Tanah Kebun")),"Tanah Pekarangan")</f>
        <v>Tanah Kebun</v>
      </c>
      <c r="O155" s="2" t="str">
        <f>IF(IFERROR(VLOOKUP(D155,'Sheet1 (3)'!$C:$G,5,FALSE),"")="K1","Pengukuran Terestris yang pemetaannya diikatkan ke peta foto","Identifikasi batas bidang tanah diatas peta foto/citra")</f>
        <v>Identifikasi batas bidang tanah diatas peta foto/citra</v>
      </c>
      <c r="P155" s="2">
        <v>0.4</v>
      </c>
      <c r="Q155" s="2"/>
    </row>
    <row r="156" spans="1:17" x14ac:dyDescent="0.25">
      <c r="A156" s="5">
        <v>155</v>
      </c>
      <c r="B156" s="5">
        <v>156</v>
      </c>
      <c r="C156" s="2">
        <v>138</v>
      </c>
      <c r="D156" s="2" t="s">
        <v>131</v>
      </c>
      <c r="E156" s="2" t="str">
        <f>IFERROR(IF(OR(VLOOKUP(D156,'Sheet1 (3)'!$C:$F,4,FALSE)="RMH",VLOOKUP(D156,'Sheet1 (3)'!$C:$F,4,FALSE)="PKR",VLOOKUP(D156,'Sheet1 (3)'!$C:$F,4,FALSE)=""),"Non Pertanian","Pertanian"),"Non Pertanian")</f>
        <v>Pertanian</v>
      </c>
      <c r="F156" s="2" t="s">
        <v>18</v>
      </c>
      <c r="G156" s="2" t="str">
        <f>IFERROR("Sesuai dengan petunjuk pemilik tanah : "&amp;VLOOKUP(D156,'Sheet1 (3)'!$C:$D,2,FALSE),"")</f>
        <v>Sesuai dengan petunjuk pemilik tanah : Johan</v>
      </c>
      <c r="H156" s="2" t="s">
        <v>625</v>
      </c>
      <c r="I156" s="2" t="s">
        <v>16</v>
      </c>
      <c r="J156" s="2" t="s">
        <v>16</v>
      </c>
      <c r="K156" s="2" t="s">
        <v>16</v>
      </c>
      <c r="L156" s="2" t="s">
        <v>16</v>
      </c>
      <c r="M156" s="2" t="s">
        <v>17</v>
      </c>
      <c r="N156" s="2" t="str">
        <f>IFERROR(IF(VLOOKUP(D156,'Sheet1 (3)'!$C:$F,4,FALSE)="","Tanah Perkampungan",CHOOSE(MATCH(VLOOKUP(D156,'Sheet1 (3)'!$C:$F,4,FALSE),{"PKR","RMH","SWH","KBN"},0),"Tanah Perkampungan","Permukiman","Tanah Persawahan","Tanah Kebun")),"Tanah Pekarangan")</f>
        <v>Tanah Kebun</v>
      </c>
      <c r="O156" s="2" t="str">
        <f>IF(IFERROR(VLOOKUP(D156,'Sheet1 (3)'!$C:$G,5,FALSE),"")="K1","Pengukuran Terestris yang pemetaannya diikatkan ke peta foto","Identifikasi batas bidang tanah diatas peta foto/citra")</f>
        <v>Identifikasi batas bidang tanah diatas peta foto/citra</v>
      </c>
      <c r="P156" s="2">
        <v>0.4</v>
      </c>
      <c r="Q156" s="2"/>
    </row>
    <row r="157" spans="1:17" x14ac:dyDescent="0.25">
      <c r="A157" s="5">
        <v>156</v>
      </c>
      <c r="B157" s="5">
        <v>157</v>
      </c>
      <c r="C157" s="2">
        <v>138</v>
      </c>
      <c r="D157" s="2" t="s">
        <v>80</v>
      </c>
      <c r="E157" s="2" t="str">
        <f>IFERROR(IF(OR(VLOOKUP(D157,'Sheet1 (3)'!$C:$F,4,FALSE)="RMH",VLOOKUP(D157,'Sheet1 (3)'!$C:$F,4,FALSE)="PKR",VLOOKUP(D157,'Sheet1 (3)'!$C:$F,4,FALSE)=""),"Non Pertanian","Pertanian"),"Non Pertanian")</f>
        <v>Non Pertanian</v>
      </c>
      <c r="F157" s="2" t="s">
        <v>18</v>
      </c>
      <c r="G157" s="2" t="str">
        <f>IFERROR("Sesuai dengan petunjuk pemilik tanah : "&amp;VLOOKUP(D157,'Sheet1 (3)'!$C:$D,2,FALSE),"")</f>
        <v>Sesuai dengan petunjuk pemilik tanah : Sungai</v>
      </c>
      <c r="H157" s="2" t="s">
        <v>625</v>
      </c>
      <c r="I157" s="2" t="s">
        <v>16</v>
      </c>
      <c r="J157" s="2" t="s">
        <v>16</v>
      </c>
      <c r="K157" s="2" t="s">
        <v>16</v>
      </c>
      <c r="L157" s="2" t="s">
        <v>16</v>
      </c>
      <c r="M157" s="2" t="s">
        <v>17</v>
      </c>
      <c r="N157" s="2" t="str">
        <f>IFERROR(IF(VLOOKUP(D157,'Sheet1 (3)'!$C:$F,4,FALSE)="","Tanah Perkampungan",CHOOSE(MATCH(VLOOKUP(D157,'Sheet1 (3)'!$C:$F,4,FALSE),{"PKR","RMH","SWH","KBN"},0),"Tanah Perkampungan","Permukiman","Tanah Persawahan","Tanah Kebun")),"Tanah Pekarangan")</f>
        <v>Tanah Perkampungan</v>
      </c>
      <c r="O157" s="2" t="str">
        <f>IF(IFERROR(VLOOKUP(D157,'Sheet1 (3)'!$C:$G,5,FALSE),"")="K1","Pengukuran Terestris yang pemetaannya diikatkan ke peta foto","Identifikasi batas bidang tanah diatas peta foto/citra")</f>
        <v>Identifikasi batas bidang tanah diatas peta foto/citra</v>
      </c>
      <c r="P157" s="2">
        <v>0.4</v>
      </c>
      <c r="Q157" s="2"/>
    </row>
    <row r="158" spans="1:17" x14ac:dyDescent="0.25">
      <c r="A158" s="5">
        <v>157</v>
      </c>
      <c r="B158" s="5">
        <v>158</v>
      </c>
      <c r="C158" s="2">
        <v>138</v>
      </c>
      <c r="D158" s="2" t="s">
        <v>45</v>
      </c>
      <c r="E158" s="2" t="str">
        <f>IFERROR(IF(OR(VLOOKUP(D158,'Sheet1 (3)'!$C:$F,4,FALSE)="RMH",VLOOKUP(D158,'Sheet1 (3)'!$C:$F,4,FALSE)="PKR",VLOOKUP(D158,'Sheet1 (3)'!$C:$F,4,FALSE)=""),"Non Pertanian","Pertanian"),"Non Pertanian")</f>
        <v>Pertanian</v>
      </c>
      <c r="F158" s="2" t="s">
        <v>18</v>
      </c>
      <c r="G158" s="2" t="str">
        <f>IFERROR("Sesuai dengan petunjuk pemilik tanah : "&amp;VLOOKUP(D158,'Sheet1 (3)'!$C:$D,2,FALSE),"")</f>
        <v>Sesuai dengan petunjuk pemilik tanah : Tanah Pusaka</v>
      </c>
      <c r="H158" s="2" t="s">
        <v>625</v>
      </c>
      <c r="I158" s="2" t="s">
        <v>16</v>
      </c>
      <c r="J158" s="2" t="s">
        <v>16</v>
      </c>
      <c r="K158" s="2" t="s">
        <v>16</v>
      </c>
      <c r="L158" s="2" t="s">
        <v>16</v>
      </c>
      <c r="M158" s="2" t="s">
        <v>17</v>
      </c>
      <c r="N158" s="2" t="str">
        <f>IFERROR(IF(VLOOKUP(D158,'Sheet1 (3)'!$C:$F,4,FALSE)="","Tanah Perkampungan",CHOOSE(MATCH(VLOOKUP(D158,'Sheet1 (3)'!$C:$F,4,FALSE),{"PKR","RMH","SWH","KBN"},0),"Tanah Perkampungan","Permukiman","Tanah Persawahan","Tanah Kebun")),"Tanah Pekarangan")</f>
        <v>Tanah Kebun</v>
      </c>
      <c r="O158" s="2" t="str">
        <f>IF(IFERROR(VLOOKUP(D158,'Sheet1 (3)'!$C:$G,5,FALSE),"")="K1","Pengukuran Terestris yang pemetaannya diikatkan ke peta foto","Identifikasi batas bidang tanah diatas peta foto/citra")</f>
        <v>Identifikasi batas bidang tanah diatas peta foto/citra</v>
      </c>
      <c r="P158" s="2">
        <v>0.4</v>
      </c>
      <c r="Q158" s="2"/>
    </row>
    <row r="159" spans="1:17" x14ac:dyDescent="0.25">
      <c r="A159" s="5">
        <v>158</v>
      </c>
      <c r="B159" s="5">
        <v>159</v>
      </c>
      <c r="C159" s="2">
        <v>138</v>
      </c>
      <c r="D159" s="2" t="s">
        <v>65</v>
      </c>
      <c r="E159" s="2" t="str">
        <f>IFERROR(IF(OR(VLOOKUP(D159,'Sheet1 (3)'!$C:$F,4,FALSE)="RMH",VLOOKUP(D159,'Sheet1 (3)'!$C:$F,4,FALSE)="PKR",VLOOKUP(D159,'Sheet1 (3)'!$C:$F,4,FALSE)=""),"Non Pertanian","Pertanian"),"Non Pertanian")</f>
        <v>Pertanian</v>
      </c>
      <c r="F159" s="2" t="s">
        <v>18</v>
      </c>
      <c r="G159" s="2" t="str">
        <f>IFERROR("Sesuai dengan petunjuk pemilik tanah : "&amp;VLOOKUP(D159,'Sheet1 (3)'!$C:$D,2,FALSE),"")</f>
        <v>Sesuai dengan petunjuk pemilik tanah : Maizir</v>
      </c>
      <c r="H159" s="2" t="s">
        <v>625</v>
      </c>
      <c r="I159" s="2" t="s">
        <v>16</v>
      </c>
      <c r="J159" s="2" t="s">
        <v>16</v>
      </c>
      <c r="K159" s="2" t="s">
        <v>16</v>
      </c>
      <c r="L159" s="2" t="s">
        <v>16</v>
      </c>
      <c r="M159" s="2" t="s">
        <v>17</v>
      </c>
      <c r="N159" s="2" t="str">
        <f>IFERROR(IF(VLOOKUP(D159,'Sheet1 (3)'!$C:$F,4,FALSE)="","Tanah Perkampungan",CHOOSE(MATCH(VLOOKUP(D159,'Sheet1 (3)'!$C:$F,4,FALSE),{"PKR","RMH","SWH","KBN"},0),"Tanah Perkampungan","Permukiman","Tanah Persawahan","Tanah Kebun")),"Tanah Pekarangan")</f>
        <v>Tanah Kebun</v>
      </c>
      <c r="O159" s="2" t="str">
        <f>IF(IFERROR(VLOOKUP(D159,'Sheet1 (3)'!$C:$G,5,FALSE),"")="K1","Pengukuran Terestris yang pemetaannya diikatkan ke peta foto","Identifikasi batas bidang tanah diatas peta foto/citra")</f>
        <v>Identifikasi batas bidang tanah diatas peta foto/citra</v>
      </c>
      <c r="P159" s="2">
        <v>0.4</v>
      </c>
      <c r="Q159" s="2"/>
    </row>
    <row r="160" spans="1:17" x14ac:dyDescent="0.25">
      <c r="A160" s="5">
        <v>159</v>
      </c>
      <c r="B160" s="5">
        <v>160</v>
      </c>
      <c r="C160" s="2">
        <v>138</v>
      </c>
      <c r="D160" s="2" t="s">
        <v>152</v>
      </c>
      <c r="E160" s="2" t="str">
        <f>IFERROR(IF(OR(VLOOKUP(D160,'Sheet1 (3)'!$C:$F,4,FALSE)="RMH",VLOOKUP(D160,'Sheet1 (3)'!$C:$F,4,FALSE)="PKR",VLOOKUP(D160,'Sheet1 (3)'!$C:$F,4,FALSE)=""),"Non Pertanian","Pertanian"),"Non Pertanian")</f>
        <v>Pertanian</v>
      </c>
      <c r="F160" s="2" t="s">
        <v>18</v>
      </c>
      <c r="G160" s="2" t="str">
        <f>IFERROR("Sesuai dengan petunjuk pemilik tanah : "&amp;VLOOKUP(D160,'Sheet1 (3)'!$C:$D,2,FALSE),"")</f>
        <v xml:space="preserve">Sesuai dengan petunjuk pemilik tanah : Jiran.z </v>
      </c>
      <c r="H160" s="2" t="s">
        <v>625</v>
      </c>
      <c r="I160" s="2" t="s">
        <v>16</v>
      </c>
      <c r="J160" s="2" t="s">
        <v>16</v>
      </c>
      <c r="K160" s="2" t="s">
        <v>16</v>
      </c>
      <c r="L160" s="2" t="s">
        <v>16</v>
      </c>
      <c r="M160" s="2" t="s">
        <v>17</v>
      </c>
      <c r="N160" s="2" t="str">
        <f>IFERROR(IF(VLOOKUP(D160,'Sheet1 (3)'!$C:$F,4,FALSE)="","Tanah Perkampungan",CHOOSE(MATCH(VLOOKUP(D160,'Sheet1 (3)'!$C:$F,4,FALSE),{"PKR","RMH","SWH","KBN"},0),"Tanah Perkampungan","Permukiman","Tanah Persawahan","Tanah Kebun")),"Tanah Pekarangan")</f>
        <v>Tanah Kebun</v>
      </c>
      <c r="O160" s="2" t="str">
        <f>IF(IFERROR(VLOOKUP(D160,'Sheet1 (3)'!$C:$G,5,FALSE),"")="K1","Pengukuran Terestris yang pemetaannya diikatkan ke peta foto","Identifikasi batas bidang tanah diatas peta foto/citra")</f>
        <v>Identifikasi batas bidang tanah diatas peta foto/citra</v>
      </c>
      <c r="P160" s="2">
        <v>0.4</v>
      </c>
      <c r="Q160" s="2"/>
    </row>
    <row r="161" spans="1:17" x14ac:dyDescent="0.25">
      <c r="A161" s="5">
        <v>160</v>
      </c>
      <c r="B161" s="5">
        <v>161</v>
      </c>
      <c r="C161" s="2">
        <v>138</v>
      </c>
      <c r="D161" s="2" t="s">
        <v>184</v>
      </c>
      <c r="E161" s="2" t="str">
        <f>IFERROR(IF(OR(VLOOKUP(D161,'Sheet1 (3)'!$C:$F,4,FALSE)="RMH",VLOOKUP(D161,'Sheet1 (3)'!$C:$F,4,FALSE)="PKR",VLOOKUP(D161,'Sheet1 (3)'!$C:$F,4,FALSE)=""),"Non Pertanian","Pertanian"),"Non Pertanian")</f>
        <v>Pertanian</v>
      </c>
      <c r="F161" s="2" t="s">
        <v>18</v>
      </c>
      <c r="G161" s="2" t="str">
        <f>IFERROR("Sesuai dengan petunjuk pemilik tanah : "&amp;VLOOKUP(D161,'Sheet1 (3)'!$C:$D,2,FALSE),"")</f>
        <v>Sesuai dengan petunjuk pemilik tanah : Tanah Desa</v>
      </c>
      <c r="H161" s="2" t="s">
        <v>625</v>
      </c>
      <c r="I161" s="2" t="s">
        <v>16</v>
      </c>
      <c r="J161" s="2" t="s">
        <v>16</v>
      </c>
      <c r="K161" s="2" t="s">
        <v>16</v>
      </c>
      <c r="L161" s="2" t="s">
        <v>16</v>
      </c>
      <c r="M161" s="2" t="s">
        <v>17</v>
      </c>
      <c r="N161" s="2" t="str">
        <f>IFERROR(IF(VLOOKUP(D161,'Sheet1 (3)'!$C:$F,4,FALSE)="","Tanah Perkampungan",CHOOSE(MATCH(VLOOKUP(D161,'Sheet1 (3)'!$C:$F,4,FALSE),{"PKR","RMH","SWH","KBN"},0),"Tanah Perkampungan","Permukiman","Tanah Persawahan","Tanah Kebun")),"Tanah Pekarangan")</f>
        <v>Tanah Kebun</v>
      </c>
      <c r="O161" s="2" t="str">
        <f>IF(IFERROR(VLOOKUP(D161,'Sheet1 (3)'!$C:$G,5,FALSE),"")="K1","Pengukuran Terestris yang pemetaannya diikatkan ke peta foto","Identifikasi batas bidang tanah diatas peta foto/citra")</f>
        <v>Identifikasi batas bidang tanah diatas peta foto/citra</v>
      </c>
      <c r="P161" s="2">
        <v>0.4</v>
      </c>
      <c r="Q161" s="2"/>
    </row>
    <row r="162" spans="1:17" x14ac:dyDescent="0.25">
      <c r="A162" s="5">
        <v>161</v>
      </c>
      <c r="B162" s="5">
        <v>162</v>
      </c>
      <c r="C162" s="2">
        <v>138</v>
      </c>
      <c r="D162" s="2" t="s">
        <v>123</v>
      </c>
      <c r="E162" s="2" t="str">
        <f>IFERROR(IF(OR(VLOOKUP(D162,'Sheet1 (3)'!$C:$F,4,FALSE)="RMH",VLOOKUP(D162,'Sheet1 (3)'!$C:$F,4,FALSE)="PKR",VLOOKUP(D162,'Sheet1 (3)'!$C:$F,4,FALSE)=""),"Non Pertanian","Pertanian"),"Non Pertanian")</f>
        <v>Non Pertanian</v>
      </c>
      <c r="F162" s="2" t="s">
        <v>18</v>
      </c>
      <c r="G162" s="2" t="str">
        <f>IFERROR("Sesuai dengan petunjuk pemilik tanah : "&amp;VLOOKUP(D162,'Sheet1 (3)'!$C:$D,2,FALSE),"")</f>
        <v>Sesuai dengan petunjuk pemilik tanah : Jalan</v>
      </c>
      <c r="H162" s="2" t="s">
        <v>625</v>
      </c>
      <c r="I162" s="2" t="s">
        <v>16</v>
      </c>
      <c r="J162" s="2" t="s">
        <v>16</v>
      </c>
      <c r="K162" s="2" t="s">
        <v>16</v>
      </c>
      <c r="L162" s="2" t="s">
        <v>16</v>
      </c>
      <c r="M162" s="2" t="s">
        <v>17</v>
      </c>
      <c r="N162" s="2" t="str">
        <f>IFERROR(IF(VLOOKUP(D162,'Sheet1 (3)'!$C:$F,4,FALSE)="","Tanah Perkampungan",CHOOSE(MATCH(VLOOKUP(D162,'Sheet1 (3)'!$C:$F,4,FALSE),{"PKR","RMH","SWH","KBN"},0),"Tanah Perkampungan","Permukiman","Tanah Persawahan","Tanah Kebun")),"Tanah Pekarangan")</f>
        <v>Tanah Perkampungan</v>
      </c>
      <c r="O162" s="2" t="str">
        <f>IF(IFERROR(VLOOKUP(D162,'Sheet1 (3)'!$C:$G,5,FALSE),"")="K1","Pengukuran Terestris yang pemetaannya diikatkan ke peta foto","Identifikasi batas bidang tanah diatas peta foto/citra")</f>
        <v>Identifikasi batas bidang tanah diatas peta foto/citra</v>
      </c>
      <c r="P162" s="2">
        <v>0.4</v>
      </c>
      <c r="Q162" s="2"/>
    </row>
    <row r="163" spans="1:17" x14ac:dyDescent="0.25">
      <c r="A163" s="5">
        <v>162</v>
      </c>
      <c r="B163" s="5">
        <v>163</v>
      </c>
      <c r="C163" s="2">
        <v>138</v>
      </c>
      <c r="D163" s="2" t="s">
        <v>102</v>
      </c>
      <c r="E163" s="2" t="str">
        <f>IFERROR(IF(OR(VLOOKUP(D163,'Sheet1 (3)'!$C:$F,4,FALSE)="RMH",VLOOKUP(D163,'Sheet1 (3)'!$C:$F,4,FALSE)="PKR",VLOOKUP(D163,'Sheet1 (3)'!$C:$F,4,FALSE)=""),"Non Pertanian","Pertanian"),"Non Pertanian")</f>
        <v>Pertanian</v>
      </c>
      <c r="F163" s="2" t="s">
        <v>18</v>
      </c>
      <c r="G163" s="2" t="str">
        <f>IFERROR("Sesuai dengan petunjuk pemilik tanah : "&amp;VLOOKUP(D163,'Sheet1 (3)'!$C:$D,2,FALSE),"")</f>
        <v>Sesuai dengan petunjuk pemilik tanah : Sinta</v>
      </c>
      <c r="H163" s="2" t="s">
        <v>625</v>
      </c>
      <c r="I163" s="2" t="s">
        <v>16</v>
      </c>
      <c r="J163" s="2" t="s">
        <v>16</v>
      </c>
      <c r="K163" s="2" t="s">
        <v>16</v>
      </c>
      <c r="L163" s="2" t="s">
        <v>16</v>
      </c>
      <c r="M163" s="2" t="s">
        <v>17</v>
      </c>
      <c r="N163" s="2" t="str">
        <f>IFERROR(IF(VLOOKUP(D163,'Sheet1 (3)'!$C:$F,4,FALSE)="","Tanah Perkampungan",CHOOSE(MATCH(VLOOKUP(D163,'Sheet1 (3)'!$C:$F,4,FALSE),{"PKR","RMH","SWH","KBN"},0),"Tanah Perkampungan","Permukiman","Tanah Persawahan","Tanah Kebun")),"Tanah Pekarangan")</f>
        <v>Tanah Kebun</v>
      </c>
      <c r="O163" s="2" t="str">
        <f>IF(IFERROR(VLOOKUP(D163,'Sheet1 (3)'!$C:$G,5,FALSE),"")="K1","Pengukuran Terestris yang pemetaannya diikatkan ke peta foto","Identifikasi batas bidang tanah diatas peta foto/citra")</f>
        <v>Identifikasi batas bidang tanah diatas peta foto/citra</v>
      </c>
      <c r="P163" s="2">
        <v>0.4</v>
      </c>
      <c r="Q163" s="2"/>
    </row>
    <row r="164" spans="1:17" x14ac:dyDescent="0.25">
      <c r="A164" s="5">
        <v>163</v>
      </c>
      <c r="B164" s="5">
        <v>164</v>
      </c>
      <c r="C164" s="2">
        <v>138</v>
      </c>
      <c r="D164" s="2" t="s">
        <v>64</v>
      </c>
      <c r="E164" s="2" t="str">
        <f>IFERROR(IF(OR(VLOOKUP(D164,'Sheet1 (3)'!$C:$F,4,FALSE)="RMH",VLOOKUP(D164,'Sheet1 (3)'!$C:$F,4,FALSE)="PKR",VLOOKUP(D164,'Sheet1 (3)'!$C:$F,4,FALSE)=""),"Non Pertanian","Pertanian"),"Non Pertanian")</f>
        <v>Non Pertanian</v>
      </c>
      <c r="F164" s="2" t="s">
        <v>18</v>
      </c>
      <c r="G164" s="2" t="str">
        <f>IFERROR("Sesuai dengan petunjuk pemilik tanah : "&amp;VLOOKUP(D164,'Sheet1 (3)'!$C:$D,2,FALSE),"")</f>
        <v>Sesuai dengan petunjuk pemilik tanah : Saluran Air</v>
      </c>
      <c r="H164" s="2" t="s">
        <v>625</v>
      </c>
      <c r="I164" s="2" t="s">
        <v>16</v>
      </c>
      <c r="J164" s="2" t="s">
        <v>16</v>
      </c>
      <c r="K164" s="2" t="s">
        <v>16</v>
      </c>
      <c r="L164" s="2" t="s">
        <v>16</v>
      </c>
      <c r="M164" s="2" t="s">
        <v>17</v>
      </c>
      <c r="N164" s="2" t="str">
        <f>IFERROR(IF(VLOOKUP(D164,'Sheet1 (3)'!$C:$F,4,FALSE)="","Tanah Perkampungan",CHOOSE(MATCH(VLOOKUP(D164,'Sheet1 (3)'!$C:$F,4,FALSE),{"PKR","RMH","SWH","KBN"},0),"Tanah Perkampungan","Permukiman","Tanah Persawahan","Tanah Kebun")),"Tanah Pekarangan")</f>
        <v>Tanah Perkampungan</v>
      </c>
      <c r="O164" s="2" t="str">
        <f>IF(IFERROR(VLOOKUP(D164,'Sheet1 (3)'!$C:$G,5,FALSE),"")="K1","Pengukuran Terestris yang pemetaannya diikatkan ke peta foto","Identifikasi batas bidang tanah diatas peta foto/citra")</f>
        <v>Identifikasi batas bidang tanah diatas peta foto/citra</v>
      </c>
      <c r="P164" s="2">
        <v>0.4</v>
      </c>
      <c r="Q164" s="2"/>
    </row>
    <row r="165" spans="1:17" x14ac:dyDescent="0.25">
      <c r="A165" s="5">
        <v>164</v>
      </c>
      <c r="B165" s="5">
        <v>165</v>
      </c>
      <c r="C165" s="2">
        <v>138</v>
      </c>
      <c r="D165" s="2" t="s">
        <v>114</v>
      </c>
      <c r="E165" s="2" t="str">
        <f>IFERROR(IF(OR(VLOOKUP(D165,'Sheet1 (3)'!$C:$F,4,FALSE)="RMH",VLOOKUP(D165,'Sheet1 (3)'!$C:$F,4,FALSE)="PKR",VLOOKUP(D165,'Sheet1 (3)'!$C:$F,4,FALSE)=""),"Non Pertanian","Pertanian"),"Non Pertanian")</f>
        <v>Non Pertanian</v>
      </c>
      <c r="F165" s="2" t="s">
        <v>18</v>
      </c>
      <c r="G165" s="2" t="str">
        <f>IFERROR("Sesuai dengan petunjuk pemilik tanah : "&amp;VLOOKUP(D165,'Sheet1 (3)'!$C:$D,2,FALSE),"")</f>
        <v>Sesuai dengan petunjuk pemilik tanah : Sungai</v>
      </c>
      <c r="H165" s="2" t="s">
        <v>625</v>
      </c>
      <c r="I165" s="2" t="s">
        <v>16</v>
      </c>
      <c r="J165" s="2" t="s">
        <v>16</v>
      </c>
      <c r="K165" s="2" t="s">
        <v>16</v>
      </c>
      <c r="L165" s="2" t="s">
        <v>16</v>
      </c>
      <c r="M165" s="2" t="s">
        <v>17</v>
      </c>
      <c r="N165" s="2" t="str">
        <f>IFERROR(IF(VLOOKUP(D165,'Sheet1 (3)'!$C:$F,4,FALSE)="","Tanah Perkampungan",CHOOSE(MATCH(VLOOKUP(D165,'Sheet1 (3)'!$C:$F,4,FALSE),{"PKR","RMH","SWH","KBN"},0),"Tanah Perkampungan","Permukiman","Tanah Persawahan","Tanah Kebun")),"Tanah Pekarangan")</f>
        <v>Tanah Perkampungan</v>
      </c>
      <c r="O165" s="2" t="str">
        <f>IF(IFERROR(VLOOKUP(D165,'Sheet1 (3)'!$C:$G,5,FALSE),"")="K1","Pengukuran Terestris yang pemetaannya diikatkan ke peta foto","Identifikasi batas bidang tanah diatas peta foto/citra")</f>
        <v>Identifikasi batas bidang tanah diatas peta foto/citra</v>
      </c>
      <c r="P165" s="2">
        <v>0.4</v>
      </c>
      <c r="Q165" s="2"/>
    </row>
    <row r="166" spans="1:17" x14ac:dyDescent="0.25">
      <c r="A166" s="5">
        <v>165</v>
      </c>
      <c r="B166" s="5">
        <v>166</v>
      </c>
      <c r="C166" s="2">
        <v>138</v>
      </c>
      <c r="D166" s="2" t="s">
        <v>49</v>
      </c>
      <c r="E166" s="2" t="str">
        <f>IFERROR(IF(OR(VLOOKUP(D166,'Sheet1 (3)'!$C:$F,4,FALSE)="RMH",VLOOKUP(D166,'Sheet1 (3)'!$C:$F,4,FALSE)="PKR",VLOOKUP(D166,'Sheet1 (3)'!$C:$F,4,FALSE)=""),"Non Pertanian","Pertanian"),"Non Pertanian")</f>
        <v>Pertanian</v>
      </c>
      <c r="F166" s="2" t="s">
        <v>18</v>
      </c>
      <c r="G166" s="2" t="str">
        <f>IFERROR("Sesuai dengan petunjuk pemilik tanah : "&amp;VLOOKUP(D166,'Sheet1 (3)'!$C:$D,2,FALSE),"")</f>
        <v xml:space="preserve">Sesuai dengan petunjuk pemilik tanah : Jiran.z </v>
      </c>
      <c r="H166" s="2" t="s">
        <v>625</v>
      </c>
      <c r="I166" s="2" t="s">
        <v>16</v>
      </c>
      <c r="J166" s="2" t="s">
        <v>16</v>
      </c>
      <c r="K166" s="2" t="s">
        <v>16</v>
      </c>
      <c r="L166" s="2" t="s">
        <v>16</v>
      </c>
      <c r="M166" s="2" t="s">
        <v>17</v>
      </c>
      <c r="N166" s="2" t="str">
        <f>IFERROR(IF(VLOOKUP(D166,'Sheet1 (3)'!$C:$F,4,FALSE)="","Tanah Perkampungan",CHOOSE(MATCH(VLOOKUP(D166,'Sheet1 (3)'!$C:$F,4,FALSE),{"PKR","RMH","SWH","KBN"},0),"Tanah Perkampungan","Permukiman","Tanah Persawahan","Tanah Kebun")),"Tanah Pekarangan")</f>
        <v>Tanah Kebun</v>
      </c>
      <c r="O166" s="2" t="str">
        <f>IF(IFERROR(VLOOKUP(D166,'Sheet1 (3)'!$C:$G,5,FALSE),"")="K1","Pengukuran Terestris yang pemetaannya diikatkan ke peta foto","Identifikasi batas bidang tanah diatas peta foto/citra")</f>
        <v>Identifikasi batas bidang tanah diatas peta foto/citra</v>
      </c>
      <c r="P166" s="2">
        <v>0.4</v>
      </c>
      <c r="Q166" s="2"/>
    </row>
    <row r="167" spans="1:17" x14ac:dyDescent="0.25">
      <c r="A167" s="5">
        <v>166</v>
      </c>
      <c r="B167" s="5">
        <v>167</v>
      </c>
      <c r="C167" s="2">
        <v>138</v>
      </c>
      <c r="D167" s="2" t="s">
        <v>91</v>
      </c>
      <c r="E167" s="2" t="str">
        <f>IFERROR(IF(OR(VLOOKUP(D167,'Sheet1 (3)'!$C:$F,4,FALSE)="RMH",VLOOKUP(D167,'Sheet1 (3)'!$C:$F,4,FALSE)="PKR",VLOOKUP(D167,'Sheet1 (3)'!$C:$F,4,FALSE)=""),"Non Pertanian","Pertanian"),"Non Pertanian")</f>
        <v>Non Pertanian</v>
      </c>
      <c r="F167" s="2" t="s">
        <v>18</v>
      </c>
      <c r="G167" s="2" t="str">
        <f>IFERROR("Sesuai dengan petunjuk pemilik tanah : "&amp;VLOOKUP(D167,'Sheet1 (3)'!$C:$D,2,FALSE),"")</f>
        <v>Sesuai dengan petunjuk pemilik tanah : Jalan</v>
      </c>
      <c r="H167" s="2" t="s">
        <v>625</v>
      </c>
      <c r="I167" s="2" t="s">
        <v>16</v>
      </c>
      <c r="J167" s="2" t="s">
        <v>16</v>
      </c>
      <c r="K167" s="2" t="s">
        <v>16</v>
      </c>
      <c r="L167" s="2" t="s">
        <v>16</v>
      </c>
      <c r="M167" s="2" t="s">
        <v>17</v>
      </c>
      <c r="N167" s="2" t="str">
        <f>IFERROR(IF(VLOOKUP(D167,'Sheet1 (3)'!$C:$F,4,FALSE)="","Tanah Perkampungan",CHOOSE(MATCH(VLOOKUP(D167,'Sheet1 (3)'!$C:$F,4,FALSE),{"PKR","RMH","SWH","KBN"},0),"Tanah Perkampungan","Permukiman","Tanah Persawahan","Tanah Kebun")),"Tanah Pekarangan")</f>
        <v>Tanah Perkampungan</v>
      </c>
      <c r="O167" s="2" t="str">
        <f>IF(IFERROR(VLOOKUP(D167,'Sheet1 (3)'!$C:$G,5,FALSE),"")="K1","Pengukuran Terestris yang pemetaannya diikatkan ke peta foto","Identifikasi batas bidang tanah diatas peta foto/citra")</f>
        <v>Identifikasi batas bidang tanah diatas peta foto/citra</v>
      </c>
      <c r="P167" s="2">
        <v>0.4</v>
      </c>
      <c r="Q167" s="2"/>
    </row>
    <row r="168" spans="1:17" x14ac:dyDescent="0.25">
      <c r="A168" s="5">
        <v>167</v>
      </c>
      <c r="B168" s="5">
        <v>168</v>
      </c>
      <c r="C168" s="2">
        <v>138</v>
      </c>
      <c r="D168" s="2" t="s">
        <v>132</v>
      </c>
      <c r="E168" s="2" t="str">
        <f>IFERROR(IF(OR(VLOOKUP(D168,'Sheet1 (3)'!$C:$F,4,FALSE)="RMH",VLOOKUP(D168,'Sheet1 (3)'!$C:$F,4,FALSE)="PKR",VLOOKUP(D168,'Sheet1 (3)'!$C:$F,4,FALSE)=""),"Non Pertanian","Pertanian"),"Non Pertanian")</f>
        <v>Non Pertanian</v>
      </c>
      <c r="F168" s="2" t="s">
        <v>18</v>
      </c>
      <c r="G168" s="2" t="str">
        <f>IFERROR("Sesuai dengan petunjuk pemilik tanah : "&amp;VLOOKUP(D168,'Sheet1 (3)'!$C:$D,2,FALSE),"")</f>
        <v>Sesuai dengan petunjuk pemilik tanah : Jalan</v>
      </c>
      <c r="H168" s="2" t="s">
        <v>625</v>
      </c>
      <c r="I168" s="2" t="s">
        <v>16</v>
      </c>
      <c r="J168" s="2" t="s">
        <v>16</v>
      </c>
      <c r="K168" s="2" t="s">
        <v>16</v>
      </c>
      <c r="L168" s="2" t="s">
        <v>16</v>
      </c>
      <c r="M168" s="2" t="s">
        <v>17</v>
      </c>
      <c r="N168" s="2" t="str">
        <f>IFERROR(IF(VLOOKUP(D168,'Sheet1 (3)'!$C:$F,4,FALSE)="","Tanah Perkampungan",CHOOSE(MATCH(VLOOKUP(D168,'Sheet1 (3)'!$C:$F,4,FALSE),{"PKR","RMH","SWH","KBN"},0),"Tanah Perkampungan","Permukiman","Tanah Persawahan","Tanah Kebun")),"Tanah Pekarangan")</f>
        <v>Tanah Perkampungan</v>
      </c>
      <c r="O168" s="2" t="str">
        <f>IF(IFERROR(VLOOKUP(D168,'Sheet1 (3)'!$C:$G,5,FALSE),"")="K1","Pengukuran Terestris yang pemetaannya diikatkan ke peta foto","Identifikasi batas bidang tanah diatas peta foto/citra")</f>
        <v>Identifikasi batas bidang tanah diatas peta foto/citra</v>
      </c>
      <c r="P168" s="2">
        <v>0.4</v>
      </c>
      <c r="Q168" s="2"/>
    </row>
    <row r="169" spans="1:17" x14ac:dyDescent="0.25">
      <c r="A169" s="5">
        <v>168</v>
      </c>
      <c r="B169" s="5">
        <v>169</v>
      </c>
      <c r="C169" s="2">
        <v>138</v>
      </c>
      <c r="D169" s="2" t="s">
        <v>231</v>
      </c>
      <c r="E169" s="2" t="str">
        <f>IFERROR(IF(OR(VLOOKUP(D169,'Sheet1 (3)'!$C:$F,4,FALSE)="RMH",VLOOKUP(D169,'Sheet1 (3)'!$C:$F,4,FALSE)="PKR",VLOOKUP(D169,'Sheet1 (3)'!$C:$F,4,FALSE)=""),"Non Pertanian","Pertanian"),"Non Pertanian")</f>
        <v>Non Pertanian</v>
      </c>
      <c r="F169" s="2" t="s">
        <v>18</v>
      </c>
      <c r="G169" s="2" t="str">
        <f>IFERROR("Sesuai dengan petunjuk pemilik tanah : "&amp;VLOOKUP(D169,'Sheet1 (3)'!$C:$D,2,FALSE),"")</f>
        <v>Sesuai dengan petunjuk pemilik tanah : Jalan</v>
      </c>
      <c r="H169" s="2" t="s">
        <v>625</v>
      </c>
      <c r="I169" s="2" t="s">
        <v>16</v>
      </c>
      <c r="J169" s="2" t="s">
        <v>16</v>
      </c>
      <c r="K169" s="2" t="s">
        <v>16</v>
      </c>
      <c r="L169" s="2" t="s">
        <v>16</v>
      </c>
      <c r="M169" s="2" t="s">
        <v>17</v>
      </c>
      <c r="N169" s="2" t="str">
        <f>IFERROR(IF(VLOOKUP(D169,'Sheet1 (3)'!$C:$F,4,FALSE)="","Tanah Perkampungan",CHOOSE(MATCH(VLOOKUP(D169,'Sheet1 (3)'!$C:$F,4,FALSE),{"PKR","RMH","SWH","KBN"},0),"Tanah Perkampungan","Permukiman","Tanah Persawahan","Tanah Kebun")),"Tanah Pekarangan")</f>
        <v>Tanah Perkampungan</v>
      </c>
      <c r="O169" s="2" t="str">
        <f>IF(IFERROR(VLOOKUP(D169,'Sheet1 (3)'!$C:$G,5,FALSE),"")="K1","Pengukuran Terestris yang pemetaannya diikatkan ke peta foto","Identifikasi batas bidang tanah diatas peta foto/citra")</f>
        <v>Identifikasi batas bidang tanah diatas peta foto/citra</v>
      </c>
      <c r="P169" s="2">
        <v>0.4</v>
      </c>
      <c r="Q16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15B1-62B7-4447-8F91-7B1F627ECED6}">
  <dimension ref="A1:M181"/>
  <sheetViews>
    <sheetView workbookViewId="0">
      <selection activeCell="P10" sqref="P10"/>
    </sheetView>
  </sheetViews>
  <sheetFormatPr defaultRowHeight="15" x14ac:dyDescent="0.25"/>
  <cols>
    <col min="5" max="5" width="18.7109375" bestFit="1" customWidth="1"/>
    <col min="6" max="6" width="8.42578125" bestFit="1" customWidth="1"/>
    <col min="7" max="7" width="7.5703125" bestFit="1" customWidth="1"/>
    <col min="8" max="8" width="10" bestFit="1" customWidth="1"/>
    <col min="11" max="11" width="10.85546875" bestFit="1" customWidth="1"/>
    <col min="12" max="12" width="10.140625" bestFit="1" customWidth="1"/>
  </cols>
  <sheetData>
    <row r="1" spans="1:13" x14ac:dyDescent="0.25">
      <c r="A1" t="s">
        <v>20</v>
      </c>
      <c r="B1" t="s">
        <v>21</v>
      </c>
      <c r="C1" t="s">
        <v>4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 x14ac:dyDescent="0.25">
      <c r="A2" s="6" t="s">
        <v>236</v>
      </c>
      <c r="B2" s="6" t="s">
        <v>32</v>
      </c>
      <c r="C2" s="6" t="s">
        <v>230</v>
      </c>
      <c r="D2" s="6" t="s">
        <v>237</v>
      </c>
      <c r="E2" s="6" t="s">
        <v>626</v>
      </c>
      <c r="F2" s="6" t="s">
        <v>34</v>
      </c>
      <c r="G2" s="6" t="s">
        <v>35</v>
      </c>
      <c r="H2">
        <v>14735.630999999999</v>
      </c>
      <c r="I2">
        <v>175632.01199999999</v>
      </c>
      <c r="J2">
        <v>1657782.452</v>
      </c>
      <c r="K2" s="6" t="s">
        <v>239</v>
      </c>
      <c r="L2" s="6" t="s">
        <v>240</v>
      </c>
      <c r="M2" s="6" t="s">
        <v>111</v>
      </c>
    </row>
    <row r="3" spans="1:13" x14ac:dyDescent="0.25">
      <c r="A3" s="6" t="s">
        <v>241</v>
      </c>
      <c r="B3" s="6" t="s">
        <v>32</v>
      </c>
      <c r="C3" s="6" t="s">
        <v>228</v>
      </c>
      <c r="D3" s="6" t="s">
        <v>242</v>
      </c>
      <c r="E3" s="6" t="s">
        <v>626</v>
      </c>
      <c r="F3" s="6" t="s">
        <v>34</v>
      </c>
      <c r="G3" s="6" t="s">
        <v>35</v>
      </c>
      <c r="H3">
        <v>2808.636</v>
      </c>
      <c r="I3">
        <v>175643.663</v>
      </c>
      <c r="J3">
        <v>1657636.172</v>
      </c>
      <c r="K3" s="6" t="s">
        <v>239</v>
      </c>
      <c r="L3" s="6" t="s">
        <v>240</v>
      </c>
      <c r="M3" s="6" t="s">
        <v>109</v>
      </c>
    </row>
    <row r="4" spans="1:13" x14ac:dyDescent="0.25">
      <c r="A4" s="6" t="s">
        <v>243</v>
      </c>
      <c r="B4" s="6" t="s">
        <v>32</v>
      </c>
      <c r="C4" s="6" t="s">
        <v>226</v>
      </c>
      <c r="D4" s="6" t="s">
        <v>244</v>
      </c>
      <c r="E4" s="6" t="s">
        <v>245</v>
      </c>
      <c r="F4" s="6" t="s">
        <v>34</v>
      </c>
      <c r="G4" s="6" t="s">
        <v>35</v>
      </c>
      <c r="H4">
        <v>16774.374</v>
      </c>
      <c r="I4">
        <v>175706.818</v>
      </c>
      <c r="J4">
        <v>1657769.487</v>
      </c>
      <c r="K4" s="6" t="s">
        <v>239</v>
      </c>
      <c r="L4" s="6" t="s">
        <v>240</v>
      </c>
      <c r="M4" s="6" t="s">
        <v>36</v>
      </c>
    </row>
    <row r="5" spans="1:13" x14ac:dyDescent="0.25">
      <c r="A5" s="6" t="s">
        <v>246</v>
      </c>
      <c r="B5" s="6" t="s">
        <v>32</v>
      </c>
      <c r="C5" s="6" t="s">
        <v>222</v>
      </c>
      <c r="D5" s="6" t="s">
        <v>247</v>
      </c>
      <c r="E5" s="6" t="s">
        <v>248</v>
      </c>
      <c r="F5" s="6" t="s">
        <v>34</v>
      </c>
      <c r="G5" s="6" t="s">
        <v>35</v>
      </c>
      <c r="H5">
        <v>5963.7560000000003</v>
      </c>
      <c r="I5">
        <v>175711.47500000001</v>
      </c>
      <c r="J5">
        <v>1657959.1329999999</v>
      </c>
      <c r="K5" s="6" t="s">
        <v>239</v>
      </c>
      <c r="L5" s="6" t="s">
        <v>240</v>
      </c>
      <c r="M5" s="6" t="s">
        <v>136</v>
      </c>
    </row>
    <row r="6" spans="1:13" x14ac:dyDescent="0.25">
      <c r="A6" s="6" t="s">
        <v>249</v>
      </c>
      <c r="B6" s="6" t="s">
        <v>32</v>
      </c>
      <c r="C6" s="6" t="s">
        <v>220</v>
      </c>
      <c r="D6" s="6" t="s">
        <v>250</v>
      </c>
      <c r="E6" s="6" t="s">
        <v>251</v>
      </c>
      <c r="F6" s="6" t="s">
        <v>34</v>
      </c>
      <c r="G6" s="6" t="s">
        <v>35</v>
      </c>
      <c r="H6">
        <v>6305.2389999999996</v>
      </c>
      <c r="I6">
        <v>175749.97899999999</v>
      </c>
      <c r="J6">
        <v>1657952.013</v>
      </c>
      <c r="K6" s="6" t="s">
        <v>239</v>
      </c>
      <c r="L6" s="6" t="s">
        <v>240</v>
      </c>
      <c r="M6" s="6" t="s">
        <v>136</v>
      </c>
    </row>
    <row r="7" spans="1:13" x14ac:dyDescent="0.25">
      <c r="A7" s="6" t="s">
        <v>252</v>
      </c>
      <c r="B7" s="6" t="s">
        <v>32</v>
      </c>
      <c r="C7" s="6" t="s">
        <v>216</v>
      </c>
      <c r="D7" s="6" t="s">
        <v>253</v>
      </c>
      <c r="E7" s="6" t="s">
        <v>626</v>
      </c>
      <c r="F7" s="6" t="s">
        <v>34</v>
      </c>
      <c r="G7" s="6" t="s">
        <v>35</v>
      </c>
      <c r="H7">
        <v>17411.955000000002</v>
      </c>
      <c r="I7">
        <v>175756.07800000001</v>
      </c>
      <c r="J7">
        <v>1657711.449</v>
      </c>
      <c r="K7" s="6" t="s">
        <v>239</v>
      </c>
      <c r="L7" s="6" t="s">
        <v>240</v>
      </c>
      <c r="M7" s="6" t="s">
        <v>36</v>
      </c>
    </row>
    <row r="8" spans="1:13" x14ac:dyDescent="0.25">
      <c r="A8" s="6" t="s">
        <v>254</v>
      </c>
      <c r="B8" s="6" t="s">
        <v>32</v>
      </c>
      <c r="C8" s="6" t="s">
        <v>213</v>
      </c>
      <c r="D8" s="6" t="s">
        <v>255</v>
      </c>
      <c r="E8" s="6" t="s">
        <v>256</v>
      </c>
      <c r="F8" s="6" t="s">
        <v>34</v>
      </c>
      <c r="G8" s="6" t="s">
        <v>35</v>
      </c>
      <c r="H8">
        <v>5789.7449999999999</v>
      </c>
      <c r="I8">
        <v>175787.07</v>
      </c>
      <c r="J8">
        <v>1657945.868</v>
      </c>
      <c r="K8" s="6" t="s">
        <v>239</v>
      </c>
      <c r="L8" s="6" t="s">
        <v>240</v>
      </c>
      <c r="M8" s="6" t="s">
        <v>136</v>
      </c>
    </row>
    <row r="9" spans="1:13" x14ac:dyDescent="0.25">
      <c r="A9" s="6" t="s">
        <v>257</v>
      </c>
      <c r="B9" s="6" t="s">
        <v>32</v>
      </c>
      <c r="C9" s="6" t="s">
        <v>209</v>
      </c>
      <c r="D9" s="6" t="s">
        <v>247</v>
      </c>
      <c r="E9" s="6" t="s">
        <v>248</v>
      </c>
      <c r="F9" s="6" t="s">
        <v>34</v>
      </c>
      <c r="G9" s="6" t="s">
        <v>35</v>
      </c>
      <c r="H9">
        <v>5625.848</v>
      </c>
      <c r="I9">
        <v>175809.628</v>
      </c>
      <c r="J9">
        <v>1657922.1780000001</v>
      </c>
      <c r="K9" s="6" t="s">
        <v>239</v>
      </c>
      <c r="L9" s="6" t="s">
        <v>240</v>
      </c>
      <c r="M9" s="6" t="s">
        <v>40</v>
      </c>
    </row>
    <row r="10" spans="1:13" x14ac:dyDescent="0.25">
      <c r="A10" s="6" t="s">
        <v>258</v>
      </c>
      <c r="B10" s="6" t="s">
        <v>32</v>
      </c>
      <c r="C10" s="6" t="s">
        <v>205</v>
      </c>
      <c r="D10" s="6" t="s">
        <v>259</v>
      </c>
      <c r="E10" s="6" t="s">
        <v>53</v>
      </c>
      <c r="F10" s="6" t="s">
        <v>34</v>
      </c>
      <c r="G10" s="6" t="s">
        <v>35</v>
      </c>
      <c r="H10">
        <v>9900.4089999999997</v>
      </c>
      <c r="I10">
        <v>175816.58</v>
      </c>
      <c r="J10">
        <v>1657706.0190000001</v>
      </c>
      <c r="K10" s="6" t="s">
        <v>239</v>
      </c>
      <c r="L10" s="6" t="s">
        <v>240</v>
      </c>
      <c r="M10" s="6" t="s">
        <v>207</v>
      </c>
    </row>
    <row r="11" spans="1:13" x14ac:dyDescent="0.25">
      <c r="A11" s="6" t="s">
        <v>260</v>
      </c>
      <c r="B11" s="6" t="s">
        <v>32</v>
      </c>
      <c r="C11" s="6" t="s">
        <v>201</v>
      </c>
      <c r="D11" s="6" t="s">
        <v>261</v>
      </c>
      <c r="E11" s="6" t="s">
        <v>262</v>
      </c>
      <c r="F11" s="6" t="s">
        <v>34</v>
      </c>
      <c r="G11" s="6" t="s">
        <v>35</v>
      </c>
      <c r="H11">
        <v>7695.7629999999999</v>
      </c>
      <c r="I11">
        <v>175842.05</v>
      </c>
      <c r="J11">
        <v>1657918.63</v>
      </c>
      <c r="K11" s="6" t="s">
        <v>239</v>
      </c>
      <c r="L11" s="6" t="s">
        <v>240</v>
      </c>
      <c r="M11" s="6" t="s">
        <v>40</v>
      </c>
    </row>
    <row r="12" spans="1:13" x14ac:dyDescent="0.25">
      <c r="A12" s="6" t="s">
        <v>263</v>
      </c>
      <c r="B12" s="6" t="s">
        <v>32</v>
      </c>
      <c r="C12" s="6" t="s">
        <v>198</v>
      </c>
      <c r="D12" s="6" t="s">
        <v>253</v>
      </c>
      <c r="E12" s="6" t="s">
        <v>264</v>
      </c>
      <c r="F12" s="6" t="s">
        <v>34</v>
      </c>
      <c r="G12" s="6" t="s">
        <v>50</v>
      </c>
      <c r="H12">
        <v>17234.72</v>
      </c>
      <c r="I12">
        <v>175850.139</v>
      </c>
      <c r="J12">
        <v>1657627.125</v>
      </c>
      <c r="K12" s="6" t="s">
        <v>239</v>
      </c>
      <c r="L12" s="6" t="s">
        <v>240</v>
      </c>
      <c r="M12" s="6" t="s">
        <v>77</v>
      </c>
    </row>
    <row r="13" spans="1:13" x14ac:dyDescent="0.25">
      <c r="A13" s="6" t="s">
        <v>265</v>
      </c>
      <c r="B13" s="6" t="s">
        <v>32</v>
      </c>
      <c r="C13" s="6" t="s">
        <v>190</v>
      </c>
      <c r="D13" s="6" t="s">
        <v>266</v>
      </c>
      <c r="E13" s="6" t="s">
        <v>267</v>
      </c>
      <c r="F13" s="6" t="s">
        <v>34</v>
      </c>
      <c r="G13" s="6" t="s">
        <v>50</v>
      </c>
      <c r="H13">
        <v>8642.3680000000004</v>
      </c>
      <c r="I13">
        <v>175859.815</v>
      </c>
      <c r="J13">
        <v>1657704.102</v>
      </c>
      <c r="K13" s="6" t="s">
        <v>239</v>
      </c>
      <c r="L13" s="6" t="s">
        <v>240</v>
      </c>
      <c r="M13" s="6" t="s">
        <v>207</v>
      </c>
    </row>
    <row r="14" spans="1:13" x14ac:dyDescent="0.25">
      <c r="A14" s="6" t="s">
        <v>268</v>
      </c>
      <c r="B14" s="6" t="s">
        <v>32</v>
      </c>
      <c r="C14" s="6" t="s">
        <v>180</v>
      </c>
      <c r="D14" s="6" t="s">
        <v>269</v>
      </c>
      <c r="E14" s="6" t="s">
        <v>270</v>
      </c>
      <c r="F14" s="6" t="s">
        <v>34</v>
      </c>
      <c r="G14" s="6" t="s">
        <v>35</v>
      </c>
      <c r="H14">
        <v>4104.8670000000002</v>
      </c>
      <c r="I14">
        <v>175870.701</v>
      </c>
      <c r="J14">
        <v>1657915.6040000001</v>
      </c>
      <c r="K14" s="6" t="s">
        <v>239</v>
      </c>
      <c r="L14" s="6" t="s">
        <v>240</v>
      </c>
      <c r="M14" s="6" t="s">
        <v>40</v>
      </c>
    </row>
    <row r="15" spans="1:13" x14ac:dyDescent="0.25">
      <c r="A15" s="6" t="s">
        <v>271</v>
      </c>
      <c r="B15" s="6" t="s">
        <v>32</v>
      </c>
      <c r="C15" s="6" t="s">
        <v>203</v>
      </c>
      <c r="D15" s="6" t="s">
        <v>272</v>
      </c>
      <c r="E15" s="6" t="s">
        <v>273</v>
      </c>
      <c r="F15" s="6" t="s">
        <v>34</v>
      </c>
      <c r="G15" s="6" t="s">
        <v>35</v>
      </c>
      <c r="H15">
        <v>4105.7569999999996</v>
      </c>
      <c r="I15">
        <v>175890.554</v>
      </c>
      <c r="J15">
        <v>1657913.3049999999</v>
      </c>
      <c r="K15" s="6" t="s">
        <v>239</v>
      </c>
      <c r="L15" s="6" t="s">
        <v>240</v>
      </c>
      <c r="M15" s="6" t="s">
        <v>40</v>
      </c>
    </row>
    <row r="16" spans="1:13" x14ac:dyDescent="0.25">
      <c r="A16" s="6" t="s">
        <v>274</v>
      </c>
      <c r="B16" s="6" t="s">
        <v>32</v>
      </c>
      <c r="C16" s="6" t="s">
        <v>177</v>
      </c>
      <c r="D16" s="6" t="s">
        <v>275</v>
      </c>
      <c r="E16" s="6" t="s">
        <v>276</v>
      </c>
      <c r="F16" s="6" t="s">
        <v>34</v>
      </c>
      <c r="G16" s="6" t="s">
        <v>35</v>
      </c>
      <c r="H16">
        <v>10211.466</v>
      </c>
      <c r="I16">
        <v>175925.68900000001</v>
      </c>
      <c r="J16">
        <v>1657909.7209999999</v>
      </c>
      <c r="K16" s="6" t="s">
        <v>239</v>
      </c>
      <c r="L16" s="6" t="s">
        <v>240</v>
      </c>
      <c r="M16" s="6" t="s">
        <v>88</v>
      </c>
    </row>
    <row r="17" spans="1:13" x14ac:dyDescent="0.25">
      <c r="A17" s="6" t="s">
        <v>277</v>
      </c>
      <c r="B17" s="6" t="s">
        <v>32</v>
      </c>
      <c r="C17" s="6" t="s">
        <v>173</v>
      </c>
      <c r="D17" s="6" t="s">
        <v>278</v>
      </c>
      <c r="E17" s="6" t="s">
        <v>279</v>
      </c>
      <c r="F17" s="6" t="s">
        <v>34</v>
      </c>
      <c r="G17" s="6" t="s">
        <v>50</v>
      </c>
      <c r="H17">
        <v>7760.6840000000002</v>
      </c>
      <c r="I17">
        <v>175943.34700000001</v>
      </c>
      <c r="J17">
        <v>1657537.378</v>
      </c>
      <c r="K17" s="6" t="s">
        <v>239</v>
      </c>
      <c r="L17" s="6" t="s">
        <v>240</v>
      </c>
      <c r="M17" s="6" t="s">
        <v>42</v>
      </c>
    </row>
    <row r="18" spans="1:13" x14ac:dyDescent="0.25">
      <c r="A18" s="6" t="s">
        <v>280</v>
      </c>
      <c r="B18" s="6" t="s">
        <v>32</v>
      </c>
      <c r="C18" s="6" t="s">
        <v>200</v>
      </c>
      <c r="D18" s="6" t="s">
        <v>281</v>
      </c>
      <c r="E18" s="6" t="s">
        <v>282</v>
      </c>
      <c r="F18" s="6" t="s">
        <v>34</v>
      </c>
      <c r="G18" s="6" t="s">
        <v>50</v>
      </c>
      <c r="H18">
        <v>13784.778</v>
      </c>
      <c r="I18">
        <v>175949.24600000001</v>
      </c>
      <c r="J18">
        <v>1657692.41</v>
      </c>
      <c r="K18" s="6" t="s">
        <v>239</v>
      </c>
      <c r="L18" s="6" t="s">
        <v>240</v>
      </c>
      <c r="M18" s="6" t="s">
        <v>44</v>
      </c>
    </row>
    <row r="19" spans="1:13" x14ac:dyDescent="0.25">
      <c r="A19" s="6" t="s">
        <v>283</v>
      </c>
      <c r="B19" s="6" t="s">
        <v>32</v>
      </c>
      <c r="C19" s="6" t="s">
        <v>187</v>
      </c>
      <c r="D19" s="6" t="s">
        <v>284</v>
      </c>
      <c r="E19" s="6" t="s">
        <v>285</v>
      </c>
      <c r="F19" s="6" t="s">
        <v>34</v>
      </c>
      <c r="G19" s="6" t="s">
        <v>35</v>
      </c>
      <c r="H19">
        <v>8531.5779999999995</v>
      </c>
      <c r="I19">
        <v>175998.96100000001</v>
      </c>
      <c r="J19">
        <v>1657685.213</v>
      </c>
      <c r="K19" s="6" t="s">
        <v>239</v>
      </c>
      <c r="L19" s="6" t="s">
        <v>240</v>
      </c>
      <c r="M19" s="6" t="s">
        <v>44</v>
      </c>
    </row>
    <row r="20" spans="1:13" x14ac:dyDescent="0.25">
      <c r="A20" s="6" t="s">
        <v>286</v>
      </c>
      <c r="B20" s="6" t="s">
        <v>32</v>
      </c>
      <c r="C20" s="6" t="s">
        <v>153</v>
      </c>
      <c r="D20" s="6" t="s">
        <v>287</v>
      </c>
      <c r="E20" s="6" t="s">
        <v>626</v>
      </c>
      <c r="F20" s="6" t="s">
        <v>34</v>
      </c>
      <c r="G20" s="6" t="s">
        <v>35</v>
      </c>
      <c r="H20">
        <v>3520.7739999999999</v>
      </c>
      <c r="I20">
        <v>176030.33499999999</v>
      </c>
      <c r="J20">
        <v>1657479.3629999999</v>
      </c>
      <c r="K20" s="6" t="s">
        <v>239</v>
      </c>
      <c r="L20" s="6" t="s">
        <v>288</v>
      </c>
      <c r="M20" s="6" t="s">
        <v>56</v>
      </c>
    </row>
    <row r="21" spans="1:13" x14ac:dyDescent="0.25">
      <c r="A21" s="6" t="s">
        <v>289</v>
      </c>
      <c r="B21" s="6" t="s">
        <v>32</v>
      </c>
      <c r="C21" s="6" t="s">
        <v>142</v>
      </c>
      <c r="D21" s="6" t="s">
        <v>272</v>
      </c>
      <c r="E21" s="6" t="s">
        <v>273</v>
      </c>
      <c r="F21" s="6" t="s">
        <v>34</v>
      </c>
      <c r="G21" s="6" t="s">
        <v>35</v>
      </c>
      <c r="H21">
        <v>9183.1679999999997</v>
      </c>
      <c r="I21">
        <v>176034.17300000001</v>
      </c>
      <c r="J21">
        <v>1657813.649</v>
      </c>
      <c r="K21" s="6" t="s">
        <v>239</v>
      </c>
      <c r="L21" s="6" t="s">
        <v>290</v>
      </c>
      <c r="M21" s="6" t="s">
        <v>48</v>
      </c>
    </row>
    <row r="22" spans="1:13" x14ac:dyDescent="0.25">
      <c r="A22" s="6" t="s">
        <v>291</v>
      </c>
      <c r="B22" s="6" t="s">
        <v>32</v>
      </c>
      <c r="C22" s="6" t="s">
        <v>150</v>
      </c>
      <c r="D22" s="6" t="s">
        <v>292</v>
      </c>
      <c r="E22" s="6" t="s">
        <v>293</v>
      </c>
      <c r="F22" s="6" t="s">
        <v>34</v>
      </c>
      <c r="G22" s="6" t="s">
        <v>35</v>
      </c>
      <c r="H22">
        <v>5018.8509999999997</v>
      </c>
      <c r="I22">
        <v>176039.59099999999</v>
      </c>
      <c r="J22">
        <v>1657856.814</v>
      </c>
      <c r="K22" s="6" t="s">
        <v>239</v>
      </c>
      <c r="L22" s="6" t="s">
        <v>290</v>
      </c>
      <c r="M22" s="6" t="s">
        <v>48</v>
      </c>
    </row>
    <row r="23" spans="1:13" x14ac:dyDescent="0.25">
      <c r="A23" s="6" t="s">
        <v>294</v>
      </c>
      <c r="B23" s="6" t="s">
        <v>32</v>
      </c>
      <c r="C23" s="6" t="s">
        <v>75</v>
      </c>
      <c r="D23" s="6" t="s">
        <v>295</v>
      </c>
      <c r="E23" s="6" t="s">
        <v>296</v>
      </c>
      <c r="F23" s="6" t="s">
        <v>34</v>
      </c>
      <c r="G23" s="6" t="s">
        <v>35</v>
      </c>
      <c r="H23">
        <v>3645.3069999999998</v>
      </c>
      <c r="I23">
        <v>176045.302</v>
      </c>
      <c r="J23">
        <v>1657837.9890000001</v>
      </c>
      <c r="K23" s="6" t="s">
        <v>239</v>
      </c>
      <c r="L23" s="6" t="s">
        <v>290</v>
      </c>
      <c r="M23" s="6" t="s">
        <v>48</v>
      </c>
    </row>
    <row r="24" spans="1:13" x14ac:dyDescent="0.25">
      <c r="A24" s="6" t="s">
        <v>297</v>
      </c>
      <c r="B24" s="6" t="s">
        <v>32</v>
      </c>
      <c r="C24" s="6" t="s">
        <v>81</v>
      </c>
      <c r="D24" s="6" t="s">
        <v>298</v>
      </c>
      <c r="E24" s="6" t="s">
        <v>626</v>
      </c>
      <c r="F24" s="6" t="s">
        <v>34</v>
      </c>
      <c r="G24" s="6" t="s">
        <v>35</v>
      </c>
      <c r="H24">
        <v>18646.975999999999</v>
      </c>
      <c r="I24">
        <v>176053.95</v>
      </c>
      <c r="J24">
        <v>1657660.8729999999</v>
      </c>
      <c r="K24" s="6" t="s">
        <v>239</v>
      </c>
      <c r="L24" s="6" t="s">
        <v>290</v>
      </c>
      <c r="M24" s="6" t="s">
        <v>103</v>
      </c>
    </row>
    <row r="25" spans="1:13" x14ac:dyDescent="0.25">
      <c r="A25" s="6" t="s">
        <v>299</v>
      </c>
      <c r="B25" s="6" t="s">
        <v>32</v>
      </c>
      <c r="C25" s="6" t="s">
        <v>223</v>
      </c>
      <c r="D25" s="6" t="s">
        <v>272</v>
      </c>
      <c r="E25" s="6" t="s">
        <v>273</v>
      </c>
      <c r="F25" s="6" t="s">
        <v>34</v>
      </c>
      <c r="G25" s="6" t="s">
        <v>35</v>
      </c>
      <c r="H25">
        <v>4101.1989999999996</v>
      </c>
      <c r="I25">
        <v>176059.25599999999</v>
      </c>
      <c r="J25">
        <v>1657874.024</v>
      </c>
      <c r="K25" s="6" t="s">
        <v>239</v>
      </c>
      <c r="L25" s="6" t="s">
        <v>290</v>
      </c>
      <c r="M25" s="6" t="s">
        <v>48</v>
      </c>
    </row>
    <row r="26" spans="1:13" x14ac:dyDescent="0.25">
      <c r="A26" s="6" t="s">
        <v>300</v>
      </c>
      <c r="B26" s="6" t="s">
        <v>32</v>
      </c>
      <c r="C26" s="6" t="s">
        <v>171</v>
      </c>
      <c r="D26" s="6" t="s">
        <v>301</v>
      </c>
      <c r="E26" s="6" t="s">
        <v>302</v>
      </c>
      <c r="F26" s="6" t="s">
        <v>34</v>
      </c>
      <c r="G26" s="6" t="s">
        <v>35</v>
      </c>
      <c r="H26">
        <v>7251.7039999999997</v>
      </c>
      <c r="I26">
        <v>176059.54800000001</v>
      </c>
      <c r="J26">
        <v>1657274.047</v>
      </c>
      <c r="K26" s="6" t="s">
        <v>239</v>
      </c>
      <c r="L26" s="6" t="s">
        <v>288</v>
      </c>
      <c r="M26" s="6" t="s">
        <v>54</v>
      </c>
    </row>
    <row r="27" spans="1:13" x14ac:dyDescent="0.25">
      <c r="A27" s="6" t="s">
        <v>303</v>
      </c>
      <c r="B27" s="6" t="s">
        <v>32</v>
      </c>
      <c r="C27" s="6" t="s">
        <v>212</v>
      </c>
      <c r="D27" s="6" t="s">
        <v>304</v>
      </c>
      <c r="E27" s="6" t="s">
        <v>305</v>
      </c>
      <c r="F27" s="6" t="s">
        <v>34</v>
      </c>
      <c r="G27" s="6" t="s">
        <v>35</v>
      </c>
      <c r="H27">
        <v>14701.556</v>
      </c>
      <c r="I27">
        <v>176074.43100000001</v>
      </c>
      <c r="J27">
        <v>1657914.9680000001</v>
      </c>
      <c r="K27" s="6" t="s">
        <v>239</v>
      </c>
      <c r="L27" s="6" t="s">
        <v>290</v>
      </c>
      <c r="M27" s="6" t="s">
        <v>56</v>
      </c>
    </row>
    <row r="28" spans="1:13" x14ac:dyDescent="0.25">
      <c r="A28" s="6" t="s">
        <v>306</v>
      </c>
      <c r="B28" s="6" t="s">
        <v>32</v>
      </c>
      <c r="C28" s="6" t="s">
        <v>185</v>
      </c>
      <c r="D28" s="6" t="s">
        <v>272</v>
      </c>
      <c r="E28" s="6" t="s">
        <v>273</v>
      </c>
      <c r="F28" s="6" t="s">
        <v>34</v>
      </c>
      <c r="G28" s="6" t="s">
        <v>35</v>
      </c>
      <c r="H28">
        <v>7618.3729999999996</v>
      </c>
      <c r="I28">
        <v>176080.89199999999</v>
      </c>
      <c r="J28">
        <v>1657038.7579999999</v>
      </c>
      <c r="K28" s="6" t="s">
        <v>239</v>
      </c>
      <c r="L28" s="6" t="s">
        <v>288</v>
      </c>
      <c r="M28" s="6" t="s">
        <v>51</v>
      </c>
    </row>
    <row r="29" spans="1:13" x14ac:dyDescent="0.25">
      <c r="A29" s="6" t="s">
        <v>307</v>
      </c>
      <c r="B29" s="6" t="s">
        <v>32</v>
      </c>
      <c r="C29" s="6" t="s">
        <v>143</v>
      </c>
      <c r="D29" s="6" t="s">
        <v>308</v>
      </c>
      <c r="E29" s="6" t="s">
        <v>309</v>
      </c>
      <c r="F29" s="6" t="s">
        <v>34</v>
      </c>
      <c r="G29" s="6" t="s">
        <v>35</v>
      </c>
      <c r="H29">
        <v>10085.603999999999</v>
      </c>
      <c r="I29">
        <v>176083.15700000001</v>
      </c>
      <c r="J29">
        <v>1657958.3570000001</v>
      </c>
      <c r="K29" s="6" t="s">
        <v>239</v>
      </c>
      <c r="L29" s="6" t="s">
        <v>290</v>
      </c>
      <c r="M29" s="6" t="s">
        <v>56</v>
      </c>
    </row>
    <row r="30" spans="1:13" x14ac:dyDescent="0.25">
      <c r="A30" s="6" t="s">
        <v>310</v>
      </c>
      <c r="B30" s="6" t="s">
        <v>32</v>
      </c>
      <c r="C30" s="6" t="s">
        <v>194</v>
      </c>
      <c r="D30" s="6" t="s">
        <v>311</v>
      </c>
      <c r="E30" s="6" t="s">
        <v>312</v>
      </c>
      <c r="F30" s="6" t="s">
        <v>34</v>
      </c>
      <c r="G30" s="6" t="s">
        <v>50</v>
      </c>
      <c r="H30">
        <v>18416.560000000001</v>
      </c>
      <c r="I30">
        <v>176089.88099999999</v>
      </c>
      <c r="J30">
        <v>1657566.166</v>
      </c>
      <c r="K30" s="6" t="s">
        <v>239</v>
      </c>
      <c r="L30" s="6" t="s">
        <v>290</v>
      </c>
      <c r="M30" s="6" t="s">
        <v>51</v>
      </c>
    </row>
    <row r="31" spans="1:13" x14ac:dyDescent="0.25">
      <c r="A31" s="6" t="s">
        <v>313</v>
      </c>
      <c r="B31" s="6" t="s">
        <v>32</v>
      </c>
      <c r="C31" s="6" t="s">
        <v>165</v>
      </c>
      <c r="D31" s="6" t="s">
        <v>314</v>
      </c>
      <c r="E31" s="6" t="s">
        <v>315</v>
      </c>
      <c r="F31" s="6" t="s">
        <v>34</v>
      </c>
      <c r="G31" s="6" t="s">
        <v>35</v>
      </c>
      <c r="H31">
        <v>10923.772000000001</v>
      </c>
      <c r="I31">
        <v>176093.91899999999</v>
      </c>
      <c r="J31">
        <v>1657328.06</v>
      </c>
      <c r="K31" s="6" t="s">
        <v>239</v>
      </c>
      <c r="L31" s="6" t="s">
        <v>288</v>
      </c>
      <c r="M31" s="6" t="s">
        <v>48</v>
      </c>
    </row>
    <row r="32" spans="1:13" x14ac:dyDescent="0.25">
      <c r="A32" s="6" t="s">
        <v>316</v>
      </c>
      <c r="B32" s="6" t="s">
        <v>32</v>
      </c>
      <c r="C32" s="6" t="s">
        <v>135</v>
      </c>
      <c r="D32" s="6" t="s">
        <v>317</v>
      </c>
      <c r="E32" s="6" t="s">
        <v>318</v>
      </c>
      <c r="F32" s="6" t="s">
        <v>34</v>
      </c>
      <c r="G32" s="6" t="s">
        <v>35</v>
      </c>
      <c r="H32">
        <v>2670.59</v>
      </c>
      <c r="I32">
        <v>176095.315</v>
      </c>
      <c r="J32">
        <v>1656933.003</v>
      </c>
      <c r="K32" s="6" t="s">
        <v>239</v>
      </c>
      <c r="L32" s="6" t="s">
        <v>319</v>
      </c>
      <c r="M32" s="6" t="s">
        <v>56</v>
      </c>
    </row>
    <row r="33" spans="1:13" x14ac:dyDescent="0.25">
      <c r="A33" s="6" t="s">
        <v>320</v>
      </c>
      <c r="B33" s="6" t="s">
        <v>32</v>
      </c>
      <c r="C33" s="6" t="s">
        <v>206</v>
      </c>
      <c r="D33" s="6" t="s">
        <v>321</v>
      </c>
      <c r="E33" s="6" t="s">
        <v>626</v>
      </c>
      <c r="F33" s="6" t="s">
        <v>34</v>
      </c>
      <c r="G33" s="6" t="s">
        <v>35</v>
      </c>
      <c r="H33">
        <v>5681.4059999999999</v>
      </c>
      <c r="I33">
        <v>176114.18299999999</v>
      </c>
      <c r="J33">
        <v>1656994.0870000001</v>
      </c>
      <c r="K33" s="6" t="s">
        <v>239</v>
      </c>
      <c r="L33" s="6" t="s">
        <v>319</v>
      </c>
      <c r="M33" s="6" t="s">
        <v>62</v>
      </c>
    </row>
    <row r="34" spans="1:13" x14ac:dyDescent="0.25">
      <c r="A34" s="6" t="s">
        <v>322</v>
      </c>
      <c r="B34" s="6" t="s">
        <v>32</v>
      </c>
      <c r="C34" s="6" t="s">
        <v>86</v>
      </c>
      <c r="D34" s="6" t="s">
        <v>323</v>
      </c>
      <c r="E34" s="6" t="s">
        <v>324</v>
      </c>
      <c r="F34" s="6" t="s">
        <v>34</v>
      </c>
      <c r="G34" s="6" t="s">
        <v>50</v>
      </c>
      <c r="H34">
        <v>7956.1120000000001</v>
      </c>
      <c r="I34">
        <v>176121.36799999999</v>
      </c>
      <c r="J34">
        <v>1657118.5689999999</v>
      </c>
      <c r="K34" s="6" t="s">
        <v>239</v>
      </c>
      <c r="L34" s="6" t="s">
        <v>288</v>
      </c>
      <c r="M34" s="6" t="s">
        <v>109</v>
      </c>
    </row>
    <row r="35" spans="1:13" x14ac:dyDescent="0.25">
      <c r="A35" s="6" t="s">
        <v>325</v>
      </c>
      <c r="B35" s="6" t="s">
        <v>32</v>
      </c>
      <c r="C35" s="6" t="s">
        <v>168</v>
      </c>
      <c r="D35" s="6" t="s">
        <v>92</v>
      </c>
      <c r="E35" s="6" t="s">
        <v>326</v>
      </c>
      <c r="F35" s="6" t="s">
        <v>34</v>
      </c>
      <c r="G35" s="6" t="s">
        <v>35</v>
      </c>
      <c r="H35">
        <v>1648.75</v>
      </c>
      <c r="I35">
        <v>176133.57199999999</v>
      </c>
      <c r="J35">
        <v>1656956.0889999999</v>
      </c>
      <c r="K35" s="6" t="s">
        <v>239</v>
      </c>
      <c r="L35" s="6" t="s">
        <v>319</v>
      </c>
      <c r="M35" s="6" t="s">
        <v>62</v>
      </c>
    </row>
    <row r="36" spans="1:13" x14ac:dyDescent="0.25">
      <c r="A36" s="6" t="s">
        <v>327</v>
      </c>
      <c r="B36" s="6" t="s">
        <v>32</v>
      </c>
      <c r="C36" s="6" t="s">
        <v>219</v>
      </c>
      <c r="D36" s="6" t="s">
        <v>328</v>
      </c>
      <c r="E36" s="6" t="s">
        <v>626</v>
      </c>
      <c r="F36" s="6" t="s">
        <v>34</v>
      </c>
      <c r="G36" s="6" t="s">
        <v>35</v>
      </c>
      <c r="H36">
        <v>3401.3960000000002</v>
      </c>
      <c r="I36">
        <v>176140.15400000001</v>
      </c>
      <c r="J36">
        <v>1657185.453</v>
      </c>
      <c r="K36" s="6" t="s">
        <v>239</v>
      </c>
      <c r="L36" s="6" t="s">
        <v>288</v>
      </c>
      <c r="M36" s="6" t="s">
        <v>109</v>
      </c>
    </row>
    <row r="37" spans="1:13" x14ac:dyDescent="0.25">
      <c r="A37" s="6" t="s">
        <v>329</v>
      </c>
      <c r="B37" s="6" t="s">
        <v>32</v>
      </c>
      <c r="C37" s="6" t="s">
        <v>196</v>
      </c>
      <c r="D37" s="6" t="s">
        <v>330</v>
      </c>
      <c r="E37" s="6" t="s">
        <v>331</v>
      </c>
      <c r="F37" s="6" t="s">
        <v>34</v>
      </c>
      <c r="G37" s="6" t="s">
        <v>50</v>
      </c>
      <c r="H37">
        <v>7117.2280000000001</v>
      </c>
      <c r="I37">
        <v>176147.304</v>
      </c>
      <c r="J37">
        <v>1657424.2779999999</v>
      </c>
      <c r="K37" s="6" t="s">
        <v>239</v>
      </c>
      <c r="L37" s="6" t="s">
        <v>288</v>
      </c>
      <c r="M37" s="6" t="s">
        <v>62</v>
      </c>
    </row>
    <row r="38" spans="1:13" x14ac:dyDescent="0.25">
      <c r="A38" s="6" t="s">
        <v>332</v>
      </c>
      <c r="B38" s="6" t="s">
        <v>32</v>
      </c>
      <c r="C38" s="6" t="s">
        <v>70</v>
      </c>
      <c r="D38" s="6" t="s">
        <v>333</v>
      </c>
      <c r="E38" s="6" t="s">
        <v>334</v>
      </c>
      <c r="F38" s="6" t="s">
        <v>34</v>
      </c>
      <c r="G38" s="6" t="s">
        <v>35</v>
      </c>
      <c r="H38">
        <v>8788.2330000000002</v>
      </c>
      <c r="I38">
        <v>176160.74900000001</v>
      </c>
      <c r="J38">
        <v>1657298.932</v>
      </c>
      <c r="K38" s="6" t="s">
        <v>239</v>
      </c>
      <c r="L38" s="6" t="s">
        <v>288</v>
      </c>
      <c r="M38" s="6" t="s">
        <v>111</v>
      </c>
    </row>
    <row r="39" spans="1:13" x14ac:dyDescent="0.25">
      <c r="A39" s="6" t="s">
        <v>335</v>
      </c>
      <c r="B39" s="6" t="s">
        <v>32</v>
      </c>
      <c r="C39" s="6" t="s">
        <v>172</v>
      </c>
      <c r="D39" s="6" t="s">
        <v>336</v>
      </c>
      <c r="E39" s="6" t="s">
        <v>337</v>
      </c>
      <c r="F39" s="6" t="s">
        <v>34</v>
      </c>
      <c r="G39" s="6" t="s">
        <v>35</v>
      </c>
      <c r="H39">
        <v>15056.37</v>
      </c>
      <c r="I39">
        <v>176161.44500000001</v>
      </c>
      <c r="J39">
        <v>1657650.902</v>
      </c>
      <c r="K39" s="6" t="s">
        <v>239</v>
      </c>
      <c r="L39" s="6" t="s">
        <v>290</v>
      </c>
      <c r="M39" s="6" t="s">
        <v>109</v>
      </c>
    </row>
    <row r="40" spans="1:13" x14ac:dyDescent="0.25">
      <c r="A40" s="6" t="s">
        <v>338</v>
      </c>
      <c r="B40" s="6" t="s">
        <v>32</v>
      </c>
      <c r="C40" s="6" t="s">
        <v>146</v>
      </c>
      <c r="D40" s="6" t="s">
        <v>339</v>
      </c>
      <c r="E40" s="6" t="s">
        <v>340</v>
      </c>
      <c r="F40" s="6" t="s">
        <v>34</v>
      </c>
      <c r="G40" s="6" t="s">
        <v>50</v>
      </c>
      <c r="H40">
        <v>2795.3620000000001</v>
      </c>
      <c r="I40">
        <v>176166.109</v>
      </c>
      <c r="J40">
        <v>1656976.4950000001</v>
      </c>
      <c r="K40" s="6" t="s">
        <v>239</v>
      </c>
      <c r="L40" s="6" t="s">
        <v>319</v>
      </c>
      <c r="M40" s="6" t="s">
        <v>62</v>
      </c>
    </row>
    <row r="41" spans="1:13" x14ac:dyDescent="0.25">
      <c r="A41" s="6" t="s">
        <v>341</v>
      </c>
      <c r="B41" s="6" t="s">
        <v>32</v>
      </c>
      <c r="C41" s="6" t="s">
        <v>78</v>
      </c>
      <c r="D41" s="6" t="s">
        <v>342</v>
      </c>
      <c r="E41" s="6" t="s">
        <v>343</v>
      </c>
      <c r="F41" s="6" t="s">
        <v>34</v>
      </c>
      <c r="G41" s="6" t="s">
        <v>35</v>
      </c>
      <c r="H41">
        <v>2680.4650000000001</v>
      </c>
      <c r="I41">
        <v>176170.255</v>
      </c>
      <c r="J41">
        <v>1657086.8389999999</v>
      </c>
      <c r="K41" s="6" t="s">
        <v>239</v>
      </c>
      <c r="L41" s="6" t="s">
        <v>288</v>
      </c>
      <c r="M41" s="6" t="s">
        <v>66</v>
      </c>
    </row>
    <row r="42" spans="1:13" x14ac:dyDescent="0.25">
      <c r="A42" s="6" t="s">
        <v>344</v>
      </c>
      <c r="B42" s="6" t="s">
        <v>32</v>
      </c>
      <c r="C42" s="6" t="s">
        <v>96</v>
      </c>
      <c r="D42" s="6" t="s">
        <v>84</v>
      </c>
      <c r="E42" s="6" t="s">
        <v>345</v>
      </c>
      <c r="F42" s="6" t="s">
        <v>34</v>
      </c>
      <c r="G42" s="6" t="s">
        <v>35</v>
      </c>
      <c r="H42">
        <v>4104.7719999999999</v>
      </c>
      <c r="I42">
        <v>176181.65100000001</v>
      </c>
      <c r="J42">
        <v>1657750.9410000001</v>
      </c>
      <c r="K42" s="6" t="s">
        <v>239</v>
      </c>
      <c r="L42" s="6" t="s">
        <v>290</v>
      </c>
      <c r="M42" s="6" t="s">
        <v>111</v>
      </c>
    </row>
    <row r="43" spans="1:13" x14ac:dyDescent="0.25">
      <c r="A43" s="6" t="s">
        <v>346</v>
      </c>
      <c r="B43" s="6" t="s">
        <v>32</v>
      </c>
      <c r="C43" s="6" t="s">
        <v>161</v>
      </c>
      <c r="D43" s="6" t="s">
        <v>347</v>
      </c>
      <c r="E43" s="6" t="s">
        <v>348</v>
      </c>
      <c r="F43" s="6" t="s">
        <v>34</v>
      </c>
      <c r="G43" s="6" t="s">
        <v>50</v>
      </c>
      <c r="H43">
        <v>1887.829</v>
      </c>
      <c r="I43">
        <v>176185.91800000001</v>
      </c>
      <c r="J43">
        <v>1657517.844</v>
      </c>
      <c r="K43" s="6" t="s">
        <v>239</v>
      </c>
      <c r="L43" s="6" t="s">
        <v>290</v>
      </c>
      <c r="M43" s="6" t="s">
        <v>66</v>
      </c>
    </row>
    <row r="44" spans="1:13" x14ac:dyDescent="0.25">
      <c r="A44" s="6" t="s">
        <v>349</v>
      </c>
      <c r="B44" s="6" t="s">
        <v>32</v>
      </c>
      <c r="C44" s="6" t="s">
        <v>37</v>
      </c>
      <c r="D44" s="6" t="s">
        <v>350</v>
      </c>
      <c r="E44" s="6" t="s">
        <v>351</v>
      </c>
      <c r="F44" s="6" t="s">
        <v>34</v>
      </c>
      <c r="G44" s="6" t="s">
        <v>35</v>
      </c>
      <c r="H44">
        <v>3729.2869999999998</v>
      </c>
      <c r="I44">
        <v>176188.53599999999</v>
      </c>
      <c r="J44">
        <v>1657470.328</v>
      </c>
      <c r="K44" s="6" t="s">
        <v>239</v>
      </c>
      <c r="L44" s="6" t="s">
        <v>288</v>
      </c>
      <c r="M44" s="6" t="s">
        <v>62</v>
      </c>
    </row>
    <row r="45" spans="1:13" x14ac:dyDescent="0.25">
      <c r="A45" s="6" t="s">
        <v>352</v>
      </c>
      <c r="B45" s="6" t="s">
        <v>32</v>
      </c>
      <c r="C45" s="6" t="s">
        <v>127</v>
      </c>
      <c r="D45" s="6" t="s">
        <v>353</v>
      </c>
      <c r="E45" s="6" t="s">
        <v>354</v>
      </c>
      <c r="F45" s="6" t="s">
        <v>34</v>
      </c>
      <c r="G45" s="6" t="s">
        <v>35</v>
      </c>
      <c r="H45">
        <v>2890.8719999999998</v>
      </c>
      <c r="I45">
        <v>176189.47099999999</v>
      </c>
      <c r="J45">
        <v>1657205.1569999999</v>
      </c>
      <c r="K45" s="6" t="s">
        <v>239</v>
      </c>
      <c r="L45" s="6" t="s">
        <v>288</v>
      </c>
      <c r="M45" s="6" t="s">
        <v>111</v>
      </c>
    </row>
    <row r="46" spans="1:13" x14ac:dyDescent="0.25">
      <c r="A46" s="6" t="s">
        <v>355</v>
      </c>
      <c r="B46" s="6" t="s">
        <v>32</v>
      </c>
      <c r="C46" s="6" t="s">
        <v>166</v>
      </c>
      <c r="D46" s="6" t="s">
        <v>356</v>
      </c>
      <c r="E46" s="6" t="s">
        <v>626</v>
      </c>
      <c r="F46" s="6" t="s">
        <v>34</v>
      </c>
      <c r="G46" s="6" t="s">
        <v>35</v>
      </c>
      <c r="H46">
        <v>2386.107</v>
      </c>
      <c r="I46">
        <v>176190.391</v>
      </c>
      <c r="J46">
        <v>1657081.7930000001</v>
      </c>
      <c r="K46" s="6" t="s">
        <v>239</v>
      </c>
      <c r="L46" s="6" t="s">
        <v>288</v>
      </c>
      <c r="M46" s="6" t="s">
        <v>66</v>
      </c>
    </row>
    <row r="47" spans="1:13" x14ac:dyDescent="0.25">
      <c r="A47" s="6" t="s">
        <v>357</v>
      </c>
      <c r="B47" s="6" t="s">
        <v>32</v>
      </c>
      <c r="C47" s="6" t="s">
        <v>155</v>
      </c>
      <c r="D47" s="6" t="s">
        <v>358</v>
      </c>
      <c r="E47" s="6" t="s">
        <v>626</v>
      </c>
      <c r="F47" s="6" t="s">
        <v>34</v>
      </c>
      <c r="G47" s="6" t="s">
        <v>35</v>
      </c>
      <c r="H47">
        <v>2873.9160000000002</v>
      </c>
      <c r="I47">
        <v>176190.45499999999</v>
      </c>
      <c r="J47">
        <v>1657158.98</v>
      </c>
      <c r="K47" s="6" t="s">
        <v>239</v>
      </c>
      <c r="L47" s="6" t="s">
        <v>288</v>
      </c>
      <c r="M47" s="6" t="s">
        <v>109</v>
      </c>
    </row>
    <row r="48" spans="1:13" x14ac:dyDescent="0.25">
      <c r="A48" s="6" t="s">
        <v>359</v>
      </c>
      <c r="B48" s="6" t="s">
        <v>32</v>
      </c>
      <c r="C48" s="6" t="s">
        <v>179</v>
      </c>
      <c r="D48" s="6" t="s">
        <v>360</v>
      </c>
      <c r="E48" s="6" t="s">
        <v>361</v>
      </c>
      <c r="F48" s="6" t="s">
        <v>34</v>
      </c>
      <c r="G48" s="6" t="s">
        <v>50</v>
      </c>
      <c r="H48">
        <v>1180.424</v>
      </c>
      <c r="I48">
        <v>176193.84599999999</v>
      </c>
      <c r="J48">
        <v>1656989.963</v>
      </c>
      <c r="K48" s="6" t="s">
        <v>239</v>
      </c>
      <c r="L48" s="6" t="s">
        <v>319</v>
      </c>
      <c r="M48" s="6" t="s">
        <v>62</v>
      </c>
    </row>
    <row r="49" spans="1:13" x14ac:dyDescent="0.25">
      <c r="A49" s="6" t="s">
        <v>362</v>
      </c>
      <c r="B49" s="6" t="s">
        <v>32</v>
      </c>
      <c r="C49" s="6" t="s">
        <v>121</v>
      </c>
      <c r="D49" s="6" t="s">
        <v>363</v>
      </c>
      <c r="E49" s="6" t="s">
        <v>364</v>
      </c>
      <c r="F49" s="6" t="s">
        <v>34</v>
      </c>
      <c r="G49" s="6" t="s">
        <v>35</v>
      </c>
      <c r="H49">
        <v>3338.442</v>
      </c>
      <c r="I49">
        <v>176196.99600000001</v>
      </c>
      <c r="J49">
        <v>1657790.9939999999</v>
      </c>
      <c r="K49" s="6" t="s">
        <v>239</v>
      </c>
      <c r="L49" s="6" t="s">
        <v>290</v>
      </c>
      <c r="M49" s="6" t="s">
        <v>111</v>
      </c>
    </row>
    <row r="50" spans="1:13" x14ac:dyDescent="0.25">
      <c r="A50" s="6" t="s">
        <v>365</v>
      </c>
      <c r="B50" s="6" t="s">
        <v>32</v>
      </c>
      <c r="C50" s="6" t="s">
        <v>130</v>
      </c>
      <c r="D50" s="6" t="s">
        <v>366</v>
      </c>
      <c r="E50" s="6" t="s">
        <v>626</v>
      </c>
      <c r="F50" s="6" t="s">
        <v>34</v>
      </c>
      <c r="G50" s="6" t="s">
        <v>35</v>
      </c>
      <c r="H50">
        <v>1597.5050000000001</v>
      </c>
      <c r="I50">
        <v>176209.049</v>
      </c>
      <c r="J50">
        <v>1657077.666</v>
      </c>
      <c r="K50" s="6" t="s">
        <v>239</v>
      </c>
      <c r="L50" s="6" t="s">
        <v>288</v>
      </c>
      <c r="M50" s="6" t="s">
        <v>71</v>
      </c>
    </row>
    <row r="51" spans="1:13" x14ac:dyDescent="0.25">
      <c r="A51" s="6" t="s">
        <v>367</v>
      </c>
      <c r="B51" s="6" t="s">
        <v>32</v>
      </c>
      <c r="C51" s="6" t="s">
        <v>191</v>
      </c>
      <c r="D51" s="6" t="s">
        <v>368</v>
      </c>
      <c r="E51" s="6" t="s">
        <v>369</v>
      </c>
      <c r="F51" s="6" t="s">
        <v>34</v>
      </c>
      <c r="G51" s="6" t="s">
        <v>35</v>
      </c>
      <c r="H51">
        <v>766.55700000000002</v>
      </c>
      <c r="I51">
        <v>176212.43299999999</v>
      </c>
      <c r="J51">
        <v>1656985.7180000001</v>
      </c>
      <c r="K51" s="6" t="s">
        <v>239</v>
      </c>
      <c r="L51" s="6" t="s">
        <v>319</v>
      </c>
      <c r="M51" s="6" t="s">
        <v>136</v>
      </c>
    </row>
    <row r="52" spans="1:13" x14ac:dyDescent="0.25">
      <c r="A52" s="6" t="s">
        <v>370</v>
      </c>
      <c r="B52" s="6" t="s">
        <v>32</v>
      </c>
      <c r="C52" s="6" t="s">
        <v>193</v>
      </c>
      <c r="D52" s="6" t="s">
        <v>371</v>
      </c>
      <c r="E52" s="6" t="s">
        <v>372</v>
      </c>
      <c r="F52" s="6" t="s">
        <v>34</v>
      </c>
      <c r="G52" s="6" t="s">
        <v>50</v>
      </c>
      <c r="H52">
        <v>10604.672</v>
      </c>
      <c r="I52">
        <v>176217.503</v>
      </c>
      <c r="J52">
        <v>1657320.3049999999</v>
      </c>
      <c r="K52" s="6" t="s">
        <v>239</v>
      </c>
      <c r="L52" s="6" t="s">
        <v>288</v>
      </c>
      <c r="M52" s="6" t="s">
        <v>74</v>
      </c>
    </row>
    <row r="53" spans="1:13" x14ac:dyDescent="0.25">
      <c r="A53" s="6" t="s">
        <v>373</v>
      </c>
      <c r="B53" s="6" t="s">
        <v>32</v>
      </c>
      <c r="C53" s="6" t="s">
        <v>68</v>
      </c>
      <c r="D53" s="6" t="s">
        <v>374</v>
      </c>
      <c r="E53" s="6" t="s">
        <v>375</v>
      </c>
      <c r="F53" s="6" t="s">
        <v>34</v>
      </c>
      <c r="G53" s="6" t="s">
        <v>35</v>
      </c>
      <c r="H53">
        <v>1243.1959999999999</v>
      </c>
      <c r="I53">
        <v>176224.32399999999</v>
      </c>
      <c r="J53">
        <v>1657530.5209999999</v>
      </c>
      <c r="K53" s="6" t="s">
        <v>239</v>
      </c>
      <c r="L53" s="6" t="s">
        <v>290</v>
      </c>
      <c r="M53" s="6" t="s">
        <v>71</v>
      </c>
    </row>
    <row r="54" spans="1:13" x14ac:dyDescent="0.25">
      <c r="A54" s="6" t="s">
        <v>376</v>
      </c>
      <c r="B54" s="6" t="s">
        <v>32</v>
      </c>
      <c r="C54" s="6" t="s">
        <v>159</v>
      </c>
      <c r="D54" s="6" t="s">
        <v>377</v>
      </c>
      <c r="E54" s="6" t="s">
        <v>626</v>
      </c>
      <c r="F54" s="6" t="s">
        <v>34</v>
      </c>
      <c r="G54" s="6" t="s">
        <v>35</v>
      </c>
      <c r="H54">
        <v>1183.8109999999999</v>
      </c>
      <c r="I54">
        <v>176227.239</v>
      </c>
      <c r="J54">
        <v>1657003.2150000001</v>
      </c>
      <c r="K54" s="6" t="s">
        <v>239</v>
      </c>
      <c r="L54" s="6" t="s">
        <v>288</v>
      </c>
      <c r="M54" s="6" t="s">
        <v>71</v>
      </c>
    </row>
    <row r="55" spans="1:13" x14ac:dyDescent="0.25">
      <c r="A55" s="6" t="s">
        <v>378</v>
      </c>
      <c r="B55" s="6" t="s">
        <v>32</v>
      </c>
      <c r="C55" s="6" t="s">
        <v>195</v>
      </c>
      <c r="D55" s="6" t="s">
        <v>342</v>
      </c>
      <c r="E55" s="6" t="s">
        <v>626</v>
      </c>
      <c r="F55" s="6" t="s">
        <v>34</v>
      </c>
      <c r="G55" s="6" t="s">
        <v>35</v>
      </c>
      <c r="H55">
        <v>1696.0889999999999</v>
      </c>
      <c r="I55">
        <v>176227.29699999999</v>
      </c>
      <c r="J55">
        <v>1657082.264</v>
      </c>
      <c r="K55" s="6" t="s">
        <v>239</v>
      </c>
      <c r="L55" s="6" t="s">
        <v>288</v>
      </c>
      <c r="M55" s="6" t="s">
        <v>71</v>
      </c>
    </row>
    <row r="56" spans="1:13" x14ac:dyDescent="0.25">
      <c r="A56" s="6" t="s">
        <v>379</v>
      </c>
      <c r="B56" s="6" t="s">
        <v>32</v>
      </c>
      <c r="C56" s="6" t="s">
        <v>199</v>
      </c>
      <c r="D56" s="6" t="s">
        <v>380</v>
      </c>
      <c r="E56" s="6" t="s">
        <v>381</v>
      </c>
      <c r="F56" s="6" t="s">
        <v>34</v>
      </c>
      <c r="G56" s="6" t="s">
        <v>50</v>
      </c>
      <c r="H56">
        <v>6573.7470000000003</v>
      </c>
      <c r="I56">
        <v>176229.64300000001</v>
      </c>
      <c r="J56">
        <v>1657656.2709999999</v>
      </c>
      <c r="K56" s="6" t="s">
        <v>239</v>
      </c>
      <c r="L56" s="6" t="s">
        <v>290</v>
      </c>
      <c r="M56" s="6" t="s">
        <v>38</v>
      </c>
    </row>
    <row r="57" spans="1:13" x14ac:dyDescent="0.25">
      <c r="A57" s="6" t="s">
        <v>382</v>
      </c>
      <c r="B57" s="6" t="s">
        <v>32</v>
      </c>
      <c r="C57" s="6" t="s">
        <v>110</v>
      </c>
      <c r="D57" s="6" t="s">
        <v>383</v>
      </c>
      <c r="E57" s="6" t="s">
        <v>384</v>
      </c>
      <c r="F57" s="6" t="s">
        <v>34</v>
      </c>
      <c r="G57" s="6" t="s">
        <v>50</v>
      </c>
      <c r="H57">
        <v>4638.2430000000004</v>
      </c>
      <c r="I57">
        <v>176236.81599999999</v>
      </c>
      <c r="J57">
        <v>1657932.25</v>
      </c>
      <c r="K57" s="6" t="s">
        <v>239</v>
      </c>
      <c r="L57" s="6" t="s">
        <v>290</v>
      </c>
      <c r="M57" s="6" t="s">
        <v>136</v>
      </c>
    </row>
    <row r="58" spans="1:13" x14ac:dyDescent="0.25">
      <c r="A58" s="6" t="s">
        <v>385</v>
      </c>
      <c r="B58" s="6" t="s">
        <v>32</v>
      </c>
      <c r="C58" s="6" t="s">
        <v>113</v>
      </c>
      <c r="D58" s="6" t="s">
        <v>386</v>
      </c>
      <c r="E58" s="6" t="s">
        <v>387</v>
      </c>
      <c r="F58" s="6" t="s">
        <v>34</v>
      </c>
      <c r="G58" s="6" t="s">
        <v>35</v>
      </c>
      <c r="H58">
        <v>3107.598</v>
      </c>
      <c r="I58">
        <v>176239.28599999999</v>
      </c>
      <c r="J58">
        <v>1657956.5560000001</v>
      </c>
      <c r="K58" s="6" t="s">
        <v>239</v>
      </c>
      <c r="L58" s="6" t="s">
        <v>290</v>
      </c>
      <c r="M58" s="6" t="s">
        <v>136</v>
      </c>
    </row>
    <row r="59" spans="1:13" x14ac:dyDescent="0.25">
      <c r="A59" s="6" t="s">
        <v>388</v>
      </c>
      <c r="B59" s="6" t="s">
        <v>32</v>
      </c>
      <c r="C59" s="6" t="s">
        <v>170</v>
      </c>
      <c r="D59" s="6" t="s">
        <v>389</v>
      </c>
      <c r="E59" s="6" t="s">
        <v>390</v>
      </c>
      <c r="F59" s="6" t="s">
        <v>34</v>
      </c>
      <c r="G59" s="6" t="s">
        <v>35</v>
      </c>
      <c r="H59">
        <v>2390.038</v>
      </c>
      <c r="I59">
        <v>176243.77100000001</v>
      </c>
      <c r="J59">
        <v>1657195.186</v>
      </c>
      <c r="K59" s="6" t="s">
        <v>239</v>
      </c>
      <c r="L59" s="6" t="s">
        <v>288</v>
      </c>
      <c r="M59" s="6" t="s">
        <v>38</v>
      </c>
    </row>
    <row r="60" spans="1:13" x14ac:dyDescent="0.25">
      <c r="A60" s="6" t="s">
        <v>391</v>
      </c>
      <c r="B60" s="6" t="s">
        <v>32</v>
      </c>
      <c r="C60" s="6" t="s">
        <v>63</v>
      </c>
      <c r="D60" s="6" t="s">
        <v>97</v>
      </c>
      <c r="E60" s="6" t="s">
        <v>392</v>
      </c>
      <c r="F60" s="6" t="s">
        <v>32</v>
      </c>
      <c r="G60" s="6" t="s">
        <v>32</v>
      </c>
      <c r="H60">
        <v>4159.3530000000001</v>
      </c>
      <c r="I60">
        <v>176244.74799999999</v>
      </c>
      <c r="J60">
        <v>1657969.9709999999</v>
      </c>
      <c r="K60" s="6" t="s">
        <v>239</v>
      </c>
      <c r="L60" s="6" t="s">
        <v>290</v>
      </c>
      <c r="M60" s="6" t="s">
        <v>136</v>
      </c>
    </row>
    <row r="61" spans="1:13" x14ac:dyDescent="0.25">
      <c r="A61" s="6" t="s">
        <v>393</v>
      </c>
      <c r="B61" s="6" t="s">
        <v>32</v>
      </c>
      <c r="C61" s="6" t="s">
        <v>217</v>
      </c>
      <c r="D61" s="6" t="s">
        <v>394</v>
      </c>
      <c r="E61" s="6" t="s">
        <v>392</v>
      </c>
      <c r="F61" s="6" t="s">
        <v>32</v>
      </c>
      <c r="G61" s="6" t="s">
        <v>32</v>
      </c>
      <c r="H61">
        <v>5075.1719999999996</v>
      </c>
      <c r="I61">
        <v>176244.81400000001</v>
      </c>
      <c r="J61">
        <v>1657975.2</v>
      </c>
      <c r="K61" s="6" t="s">
        <v>239</v>
      </c>
      <c r="L61" s="6" t="s">
        <v>290</v>
      </c>
      <c r="M61" s="6" t="s">
        <v>136</v>
      </c>
    </row>
    <row r="62" spans="1:13" x14ac:dyDescent="0.25">
      <c r="A62" s="6" t="s">
        <v>395</v>
      </c>
      <c r="B62" s="6" t="s">
        <v>32</v>
      </c>
      <c r="C62" s="6" t="s">
        <v>108</v>
      </c>
      <c r="D62" s="6" t="s">
        <v>396</v>
      </c>
      <c r="E62" s="6" t="s">
        <v>626</v>
      </c>
      <c r="F62" s="6" t="s">
        <v>34</v>
      </c>
      <c r="G62" s="6" t="s">
        <v>35</v>
      </c>
      <c r="H62">
        <v>1202.8140000000001</v>
      </c>
      <c r="I62">
        <v>176245.50700000001</v>
      </c>
      <c r="J62">
        <v>1657010.598</v>
      </c>
      <c r="K62" s="6" t="s">
        <v>239</v>
      </c>
      <c r="L62" s="6" t="s">
        <v>288</v>
      </c>
      <c r="M62" s="6" t="s">
        <v>71</v>
      </c>
    </row>
    <row r="63" spans="1:13" x14ac:dyDescent="0.25">
      <c r="A63" s="6" t="s">
        <v>397</v>
      </c>
      <c r="B63" s="6" t="s">
        <v>32</v>
      </c>
      <c r="C63" s="6" t="s">
        <v>225</v>
      </c>
      <c r="D63" s="6" t="s">
        <v>398</v>
      </c>
      <c r="E63" s="6" t="s">
        <v>399</v>
      </c>
      <c r="F63" s="6" t="s">
        <v>34</v>
      </c>
      <c r="G63" s="6" t="s">
        <v>50</v>
      </c>
      <c r="H63">
        <v>4101.28</v>
      </c>
      <c r="I63">
        <v>176245.677</v>
      </c>
      <c r="J63">
        <v>1657357.625</v>
      </c>
      <c r="K63" s="6" t="s">
        <v>239</v>
      </c>
      <c r="L63" s="6" t="s">
        <v>288</v>
      </c>
      <c r="M63" s="6" t="s">
        <v>74</v>
      </c>
    </row>
    <row r="64" spans="1:13" x14ac:dyDescent="0.25">
      <c r="A64" s="6" t="s">
        <v>400</v>
      </c>
      <c r="B64" s="6" t="s">
        <v>32</v>
      </c>
      <c r="C64" s="6" t="s">
        <v>151</v>
      </c>
      <c r="D64" s="6" t="s">
        <v>401</v>
      </c>
      <c r="E64" s="6" t="s">
        <v>626</v>
      </c>
      <c r="F64" s="6" t="s">
        <v>34</v>
      </c>
      <c r="G64" s="6" t="s">
        <v>35</v>
      </c>
      <c r="H64">
        <v>6273.857</v>
      </c>
      <c r="I64">
        <v>176256.484</v>
      </c>
      <c r="J64">
        <v>1657079.5090000001</v>
      </c>
      <c r="K64" s="6" t="s">
        <v>239</v>
      </c>
      <c r="L64" s="6" t="s">
        <v>288</v>
      </c>
      <c r="M64" s="6" t="s">
        <v>71</v>
      </c>
    </row>
    <row r="65" spans="1:13" x14ac:dyDescent="0.25">
      <c r="A65" s="6" t="s">
        <v>402</v>
      </c>
      <c r="B65" s="6" t="s">
        <v>32</v>
      </c>
      <c r="C65" s="6" t="s">
        <v>95</v>
      </c>
      <c r="D65" s="6" t="s">
        <v>403</v>
      </c>
      <c r="E65" s="6" t="s">
        <v>404</v>
      </c>
      <c r="F65" s="6" t="s">
        <v>34</v>
      </c>
      <c r="G65" s="6" t="s">
        <v>35</v>
      </c>
      <c r="H65">
        <v>3771.2570000000001</v>
      </c>
      <c r="I65">
        <v>176268.41399999999</v>
      </c>
      <c r="J65">
        <v>1657668.314</v>
      </c>
      <c r="K65" s="6" t="s">
        <v>239</v>
      </c>
      <c r="L65" s="6" t="s">
        <v>290</v>
      </c>
      <c r="M65" s="6" t="s">
        <v>38</v>
      </c>
    </row>
    <row r="66" spans="1:13" x14ac:dyDescent="0.25">
      <c r="A66" s="6" t="s">
        <v>405</v>
      </c>
      <c r="B66" s="6" t="s">
        <v>32</v>
      </c>
      <c r="C66" s="6" t="s">
        <v>181</v>
      </c>
      <c r="D66" s="6" t="s">
        <v>406</v>
      </c>
      <c r="E66" s="6" t="s">
        <v>351</v>
      </c>
      <c r="F66" s="6" t="s">
        <v>34</v>
      </c>
      <c r="G66" s="6" t="s">
        <v>35</v>
      </c>
      <c r="H66">
        <v>1800.489</v>
      </c>
      <c r="I66">
        <v>176276.228</v>
      </c>
      <c r="J66">
        <v>1657091.5330000001</v>
      </c>
      <c r="K66" s="6" t="s">
        <v>239</v>
      </c>
      <c r="L66" s="6" t="s">
        <v>288</v>
      </c>
      <c r="M66" s="6" t="s">
        <v>71</v>
      </c>
    </row>
    <row r="67" spans="1:13" x14ac:dyDescent="0.25">
      <c r="A67" s="6" t="s">
        <v>407</v>
      </c>
      <c r="B67" s="6" t="s">
        <v>32</v>
      </c>
      <c r="C67" s="6" t="s">
        <v>183</v>
      </c>
      <c r="D67" s="6" t="s">
        <v>408</v>
      </c>
      <c r="E67" s="6" t="s">
        <v>273</v>
      </c>
      <c r="F67" s="6" t="s">
        <v>34</v>
      </c>
      <c r="G67" s="6" t="s">
        <v>35</v>
      </c>
      <c r="H67">
        <v>10385.355</v>
      </c>
      <c r="I67">
        <v>176279.92600000001</v>
      </c>
      <c r="J67">
        <v>1657813.2890000001</v>
      </c>
      <c r="K67" s="6" t="s">
        <v>239</v>
      </c>
      <c r="L67" s="6" t="s">
        <v>290</v>
      </c>
      <c r="M67" s="6" t="s">
        <v>74</v>
      </c>
    </row>
    <row r="68" spans="1:13" x14ac:dyDescent="0.25">
      <c r="A68" s="6" t="s">
        <v>409</v>
      </c>
      <c r="B68" s="6" t="s">
        <v>32</v>
      </c>
      <c r="C68" s="6" t="s">
        <v>158</v>
      </c>
      <c r="D68" s="6" t="s">
        <v>410</v>
      </c>
      <c r="E68" s="6" t="s">
        <v>626</v>
      </c>
      <c r="F68" s="6" t="s">
        <v>34</v>
      </c>
      <c r="G68" s="6" t="s">
        <v>35</v>
      </c>
      <c r="H68">
        <v>10596.664000000001</v>
      </c>
      <c r="I68">
        <v>176294.89600000001</v>
      </c>
      <c r="J68">
        <v>1657872.1059999999</v>
      </c>
      <c r="K68" s="6" t="s">
        <v>239</v>
      </c>
      <c r="L68" s="6" t="s">
        <v>290</v>
      </c>
      <c r="M68" s="6" t="s">
        <v>74</v>
      </c>
    </row>
    <row r="69" spans="1:13" x14ac:dyDescent="0.25">
      <c r="A69" s="6" t="s">
        <v>411</v>
      </c>
      <c r="B69" s="6" t="s">
        <v>32</v>
      </c>
      <c r="C69" s="6" t="s">
        <v>178</v>
      </c>
      <c r="D69" s="6" t="s">
        <v>412</v>
      </c>
      <c r="E69" s="6" t="s">
        <v>413</v>
      </c>
      <c r="F69" s="6" t="s">
        <v>34</v>
      </c>
      <c r="G69" s="6" t="s">
        <v>35</v>
      </c>
      <c r="H69">
        <v>6042.5820000000003</v>
      </c>
      <c r="I69">
        <v>176294.995</v>
      </c>
      <c r="J69">
        <v>1657678.855</v>
      </c>
      <c r="K69" s="6" t="s">
        <v>239</v>
      </c>
      <c r="L69" s="6" t="s">
        <v>290</v>
      </c>
      <c r="M69" s="6" t="s">
        <v>38</v>
      </c>
    </row>
    <row r="70" spans="1:13" x14ac:dyDescent="0.25">
      <c r="A70" s="6" t="s">
        <v>414</v>
      </c>
      <c r="B70" s="6" t="s">
        <v>32</v>
      </c>
      <c r="C70" s="6" t="s">
        <v>192</v>
      </c>
      <c r="D70" s="6" t="s">
        <v>415</v>
      </c>
      <c r="E70" s="6" t="s">
        <v>416</v>
      </c>
      <c r="F70" s="6" t="s">
        <v>34</v>
      </c>
      <c r="G70" s="6" t="s">
        <v>50</v>
      </c>
      <c r="H70">
        <v>5324.6239999999998</v>
      </c>
      <c r="I70">
        <v>176295.91099999999</v>
      </c>
      <c r="J70">
        <v>1657401.084</v>
      </c>
      <c r="K70" s="6" t="s">
        <v>239</v>
      </c>
      <c r="L70" s="6" t="s">
        <v>288</v>
      </c>
      <c r="M70" s="6" t="s">
        <v>136</v>
      </c>
    </row>
    <row r="71" spans="1:13" x14ac:dyDescent="0.25">
      <c r="A71" s="6" t="s">
        <v>417</v>
      </c>
      <c r="B71" s="6" t="s">
        <v>32</v>
      </c>
      <c r="C71" s="6" t="s">
        <v>116</v>
      </c>
      <c r="D71" s="6" t="s">
        <v>336</v>
      </c>
      <c r="E71" s="6" t="s">
        <v>337</v>
      </c>
      <c r="F71" s="6" t="s">
        <v>34</v>
      </c>
      <c r="G71" s="6" t="s">
        <v>35</v>
      </c>
      <c r="H71">
        <v>6410.7449999999999</v>
      </c>
      <c r="I71">
        <v>176296.45</v>
      </c>
      <c r="J71">
        <v>1657524.5889999999</v>
      </c>
      <c r="K71" s="6" t="s">
        <v>239</v>
      </c>
      <c r="L71" s="6" t="s">
        <v>290</v>
      </c>
      <c r="M71" s="6" t="s">
        <v>71</v>
      </c>
    </row>
    <row r="72" spans="1:13" x14ac:dyDescent="0.25">
      <c r="A72" s="6" t="s">
        <v>418</v>
      </c>
      <c r="B72" s="6" t="s">
        <v>32</v>
      </c>
      <c r="C72" s="6" t="s">
        <v>233</v>
      </c>
      <c r="D72" s="6" t="s">
        <v>419</v>
      </c>
      <c r="E72" s="6" t="s">
        <v>420</v>
      </c>
      <c r="F72" s="6" t="s">
        <v>34</v>
      </c>
      <c r="G72" s="6" t="s">
        <v>35</v>
      </c>
      <c r="H72">
        <v>4333.875</v>
      </c>
      <c r="I72">
        <v>176309.63099999999</v>
      </c>
      <c r="J72">
        <v>1657698.2239999999</v>
      </c>
      <c r="K72" s="6" t="s">
        <v>239</v>
      </c>
      <c r="L72" s="6" t="s">
        <v>290</v>
      </c>
      <c r="M72" s="6" t="s">
        <v>77</v>
      </c>
    </row>
    <row r="73" spans="1:13" x14ac:dyDescent="0.25">
      <c r="A73" s="6" t="s">
        <v>421</v>
      </c>
      <c r="B73" s="6" t="s">
        <v>32</v>
      </c>
      <c r="C73" s="6" t="s">
        <v>174</v>
      </c>
      <c r="D73" s="6" t="s">
        <v>336</v>
      </c>
      <c r="E73" s="6" t="s">
        <v>337</v>
      </c>
      <c r="F73" s="6" t="s">
        <v>34</v>
      </c>
      <c r="G73" s="6" t="s">
        <v>35</v>
      </c>
      <c r="H73">
        <v>13600.800999999999</v>
      </c>
      <c r="I73">
        <v>176311.40100000001</v>
      </c>
      <c r="J73">
        <v>1657153.9439999999</v>
      </c>
      <c r="K73" s="6" t="s">
        <v>239</v>
      </c>
      <c r="L73" s="6" t="s">
        <v>288</v>
      </c>
      <c r="M73" s="6" t="s">
        <v>77</v>
      </c>
    </row>
    <row r="74" spans="1:13" x14ac:dyDescent="0.25">
      <c r="A74" s="6" t="s">
        <v>422</v>
      </c>
      <c r="B74" s="6" t="s">
        <v>32</v>
      </c>
      <c r="C74" s="6" t="s">
        <v>126</v>
      </c>
      <c r="D74" s="6" t="s">
        <v>423</v>
      </c>
      <c r="E74" s="6" t="s">
        <v>424</v>
      </c>
      <c r="F74" s="6" t="s">
        <v>34</v>
      </c>
      <c r="G74" s="6" t="s">
        <v>50</v>
      </c>
      <c r="H74">
        <v>6021.2560000000003</v>
      </c>
      <c r="I74">
        <v>176319.88500000001</v>
      </c>
      <c r="J74">
        <v>1657406.2790000001</v>
      </c>
      <c r="K74" s="6" t="s">
        <v>239</v>
      </c>
      <c r="L74" s="6" t="s">
        <v>288</v>
      </c>
      <c r="M74" s="6" t="s">
        <v>40</v>
      </c>
    </row>
    <row r="75" spans="1:13" x14ac:dyDescent="0.25">
      <c r="A75" s="6" t="s">
        <v>425</v>
      </c>
      <c r="B75" s="6" t="s">
        <v>32</v>
      </c>
      <c r="C75" s="6" t="s">
        <v>197</v>
      </c>
      <c r="D75" s="6" t="s">
        <v>426</v>
      </c>
      <c r="E75" s="6" t="s">
        <v>427</v>
      </c>
      <c r="F75" s="6" t="s">
        <v>34</v>
      </c>
      <c r="G75" s="6" t="s">
        <v>50</v>
      </c>
      <c r="H75">
        <v>3551.6889999999999</v>
      </c>
      <c r="I75">
        <v>176327.13699999999</v>
      </c>
      <c r="J75">
        <v>1657709.196</v>
      </c>
      <c r="K75" s="6" t="s">
        <v>239</v>
      </c>
      <c r="L75" s="6" t="s">
        <v>290</v>
      </c>
      <c r="M75" s="6" t="s">
        <v>207</v>
      </c>
    </row>
    <row r="76" spans="1:13" x14ac:dyDescent="0.25">
      <c r="A76" s="6" t="s">
        <v>428</v>
      </c>
      <c r="B76" s="6" t="s">
        <v>32</v>
      </c>
      <c r="C76" s="6" t="s">
        <v>134</v>
      </c>
      <c r="D76" s="6" t="s">
        <v>429</v>
      </c>
      <c r="E76" s="6" t="s">
        <v>430</v>
      </c>
      <c r="F76" s="6" t="s">
        <v>34</v>
      </c>
      <c r="G76" s="6" t="s">
        <v>35</v>
      </c>
      <c r="H76">
        <v>7632.5550000000003</v>
      </c>
      <c r="I76">
        <v>176346.62299999999</v>
      </c>
      <c r="J76">
        <v>1657260.121</v>
      </c>
      <c r="K76" s="6" t="s">
        <v>239</v>
      </c>
      <c r="L76" s="6" t="s">
        <v>288</v>
      </c>
      <c r="M76" s="6" t="s">
        <v>207</v>
      </c>
    </row>
    <row r="77" spans="1:13" x14ac:dyDescent="0.25">
      <c r="A77" s="6" t="s">
        <v>431</v>
      </c>
      <c r="B77" s="6" t="s">
        <v>32</v>
      </c>
      <c r="C77" s="6" t="s">
        <v>147</v>
      </c>
      <c r="D77" s="6" t="s">
        <v>432</v>
      </c>
      <c r="E77" s="6" t="s">
        <v>433</v>
      </c>
      <c r="F77" s="6" t="s">
        <v>34</v>
      </c>
      <c r="G77" s="6" t="s">
        <v>50</v>
      </c>
      <c r="H77">
        <v>5855.9639999999999</v>
      </c>
      <c r="I77">
        <v>176346.772</v>
      </c>
      <c r="J77">
        <v>1657169.702</v>
      </c>
      <c r="K77" s="6" t="s">
        <v>239</v>
      </c>
      <c r="L77" s="6" t="s">
        <v>288</v>
      </c>
      <c r="M77" s="6" t="s">
        <v>77</v>
      </c>
    </row>
    <row r="78" spans="1:13" x14ac:dyDescent="0.25">
      <c r="A78" s="6" t="s">
        <v>434</v>
      </c>
      <c r="B78" s="6" t="s">
        <v>32</v>
      </c>
      <c r="C78" s="6" t="s">
        <v>43</v>
      </c>
      <c r="D78" s="6" t="s">
        <v>435</v>
      </c>
      <c r="E78" s="6" t="s">
        <v>436</v>
      </c>
      <c r="F78" s="6" t="s">
        <v>34</v>
      </c>
      <c r="G78" s="6" t="s">
        <v>35</v>
      </c>
      <c r="H78">
        <v>8118.3890000000001</v>
      </c>
      <c r="I78">
        <v>176356.68599999999</v>
      </c>
      <c r="J78">
        <v>1657271.6440000001</v>
      </c>
      <c r="K78" s="6" t="s">
        <v>239</v>
      </c>
      <c r="L78" s="6" t="s">
        <v>288</v>
      </c>
      <c r="M78" s="6" t="s">
        <v>207</v>
      </c>
    </row>
    <row r="79" spans="1:13" x14ac:dyDescent="0.25">
      <c r="A79" s="6" t="s">
        <v>437</v>
      </c>
      <c r="B79" s="6" t="s">
        <v>32</v>
      </c>
      <c r="C79" s="6" t="s">
        <v>69</v>
      </c>
      <c r="D79" s="6" t="s">
        <v>438</v>
      </c>
      <c r="E79" s="6" t="s">
        <v>439</v>
      </c>
      <c r="F79" s="6" t="s">
        <v>34</v>
      </c>
      <c r="G79" s="6" t="s">
        <v>35</v>
      </c>
      <c r="H79">
        <v>5712.125</v>
      </c>
      <c r="I79">
        <v>176366.72700000001</v>
      </c>
      <c r="J79">
        <v>1657714.503</v>
      </c>
      <c r="K79" s="6" t="s">
        <v>239</v>
      </c>
      <c r="L79" s="6" t="s">
        <v>290</v>
      </c>
      <c r="M79" s="6" t="s">
        <v>207</v>
      </c>
    </row>
    <row r="80" spans="1:13" x14ac:dyDescent="0.25">
      <c r="A80" s="6" t="s">
        <v>440</v>
      </c>
      <c r="B80" s="6" t="s">
        <v>32</v>
      </c>
      <c r="C80" s="6" t="s">
        <v>144</v>
      </c>
      <c r="D80" s="6" t="s">
        <v>441</v>
      </c>
      <c r="E80" s="6" t="s">
        <v>442</v>
      </c>
      <c r="F80" s="6" t="s">
        <v>34</v>
      </c>
      <c r="G80" s="6" t="s">
        <v>35</v>
      </c>
      <c r="H80">
        <v>5702.5529999999999</v>
      </c>
      <c r="I80">
        <v>176367.323</v>
      </c>
      <c r="J80">
        <v>1657181.4169999999</v>
      </c>
      <c r="K80" s="6" t="s">
        <v>239</v>
      </c>
      <c r="L80" s="6" t="s">
        <v>288</v>
      </c>
      <c r="M80" s="6" t="s">
        <v>77</v>
      </c>
    </row>
    <row r="81" spans="1:13" x14ac:dyDescent="0.25">
      <c r="A81" s="6" t="s">
        <v>443</v>
      </c>
      <c r="B81" s="6" t="s">
        <v>32</v>
      </c>
      <c r="C81" s="6" t="s">
        <v>208</v>
      </c>
      <c r="D81" s="6" t="s">
        <v>444</v>
      </c>
      <c r="E81" s="6" t="s">
        <v>445</v>
      </c>
      <c r="F81" s="6" t="s">
        <v>34</v>
      </c>
      <c r="G81" s="6" t="s">
        <v>35</v>
      </c>
      <c r="H81">
        <v>6000.9629999999997</v>
      </c>
      <c r="I81">
        <v>176374.34899999999</v>
      </c>
      <c r="J81">
        <v>1657398.1340000001</v>
      </c>
      <c r="K81" s="6" t="s">
        <v>239</v>
      </c>
      <c r="L81" s="6" t="s">
        <v>288</v>
      </c>
      <c r="M81" s="6" t="s">
        <v>85</v>
      </c>
    </row>
    <row r="82" spans="1:13" x14ac:dyDescent="0.25">
      <c r="A82" s="6" t="s">
        <v>446</v>
      </c>
      <c r="B82" s="6" t="s">
        <v>32</v>
      </c>
      <c r="C82" s="6" t="s">
        <v>141</v>
      </c>
      <c r="D82" s="6" t="s">
        <v>447</v>
      </c>
      <c r="E82" s="6" t="s">
        <v>448</v>
      </c>
      <c r="F82" s="6" t="s">
        <v>34</v>
      </c>
      <c r="G82" s="6" t="s">
        <v>35</v>
      </c>
      <c r="H82">
        <v>7827.8059999999996</v>
      </c>
      <c r="I82">
        <v>176381.12599999999</v>
      </c>
      <c r="J82">
        <v>1657923.933</v>
      </c>
      <c r="K82" s="6" t="s">
        <v>239</v>
      </c>
      <c r="L82" s="6" t="s">
        <v>290</v>
      </c>
      <c r="M82" s="6" t="s">
        <v>40</v>
      </c>
    </row>
    <row r="83" spans="1:13" x14ac:dyDescent="0.25">
      <c r="A83" s="6" t="s">
        <v>449</v>
      </c>
      <c r="B83" s="6" t="s">
        <v>32</v>
      </c>
      <c r="C83" s="6" t="s">
        <v>160</v>
      </c>
      <c r="D83" s="6" t="s">
        <v>275</v>
      </c>
      <c r="E83" s="6" t="s">
        <v>276</v>
      </c>
      <c r="F83" s="6" t="s">
        <v>34</v>
      </c>
      <c r="G83" s="6" t="s">
        <v>35</v>
      </c>
      <c r="H83">
        <v>7143.9009999999998</v>
      </c>
      <c r="I83">
        <v>176398.47399999999</v>
      </c>
      <c r="J83">
        <v>1657835.06</v>
      </c>
      <c r="K83" s="6" t="s">
        <v>239</v>
      </c>
      <c r="L83" s="6" t="s">
        <v>290</v>
      </c>
      <c r="M83" s="6" t="s">
        <v>85</v>
      </c>
    </row>
    <row r="84" spans="1:13" x14ac:dyDescent="0.25">
      <c r="A84" s="6" t="s">
        <v>450</v>
      </c>
      <c r="B84" s="6" t="s">
        <v>32</v>
      </c>
      <c r="C84" s="6" t="s">
        <v>57</v>
      </c>
      <c r="D84" s="6" t="s">
        <v>374</v>
      </c>
      <c r="E84" s="6" t="s">
        <v>375</v>
      </c>
      <c r="F84" s="6" t="s">
        <v>34</v>
      </c>
      <c r="G84" s="6" t="s">
        <v>50</v>
      </c>
      <c r="H84">
        <v>8730.0360000000001</v>
      </c>
      <c r="I84">
        <v>176400.41800000001</v>
      </c>
      <c r="J84">
        <v>1657326.3670000001</v>
      </c>
      <c r="K84" s="6" t="s">
        <v>239</v>
      </c>
      <c r="L84" s="6" t="s">
        <v>288</v>
      </c>
      <c r="M84" s="6" t="s">
        <v>90</v>
      </c>
    </row>
    <row r="85" spans="1:13" x14ac:dyDescent="0.25">
      <c r="A85" s="6" t="s">
        <v>451</v>
      </c>
      <c r="B85" s="6" t="s">
        <v>32</v>
      </c>
      <c r="C85" s="6" t="s">
        <v>137</v>
      </c>
      <c r="D85" s="6" t="s">
        <v>452</v>
      </c>
      <c r="E85" s="6" t="s">
        <v>453</v>
      </c>
      <c r="F85" s="6" t="s">
        <v>34</v>
      </c>
      <c r="G85" s="6" t="s">
        <v>35</v>
      </c>
      <c r="H85">
        <v>5787.3680000000004</v>
      </c>
      <c r="I85">
        <v>176413.82800000001</v>
      </c>
      <c r="J85">
        <v>1657860.1769999999</v>
      </c>
      <c r="K85" s="6" t="s">
        <v>239</v>
      </c>
      <c r="L85" s="6" t="s">
        <v>290</v>
      </c>
      <c r="M85" s="6" t="s">
        <v>90</v>
      </c>
    </row>
    <row r="86" spans="1:13" x14ac:dyDescent="0.25">
      <c r="A86" s="6" t="s">
        <v>454</v>
      </c>
      <c r="B86" s="6" t="s">
        <v>32</v>
      </c>
      <c r="C86" s="6" t="s">
        <v>104</v>
      </c>
      <c r="D86" s="6" t="s">
        <v>455</v>
      </c>
      <c r="E86" s="6" t="s">
        <v>456</v>
      </c>
      <c r="F86" s="6" t="s">
        <v>34</v>
      </c>
      <c r="G86" s="6" t="s">
        <v>35</v>
      </c>
      <c r="H86">
        <v>4000.3780000000002</v>
      </c>
      <c r="I86">
        <v>176416.75599999999</v>
      </c>
      <c r="J86">
        <v>1657723.777</v>
      </c>
      <c r="K86" s="6" t="s">
        <v>239</v>
      </c>
      <c r="L86" s="6" t="s">
        <v>290</v>
      </c>
      <c r="M86" s="6" t="s">
        <v>59</v>
      </c>
    </row>
    <row r="87" spans="1:13" x14ac:dyDescent="0.25">
      <c r="A87" s="6" t="s">
        <v>457</v>
      </c>
      <c r="B87" s="6" t="s">
        <v>32</v>
      </c>
      <c r="C87" s="6" t="s">
        <v>145</v>
      </c>
      <c r="D87" s="6" t="s">
        <v>458</v>
      </c>
      <c r="E87" s="6" t="s">
        <v>459</v>
      </c>
      <c r="F87" s="6" t="s">
        <v>34</v>
      </c>
      <c r="G87" s="6" t="s">
        <v>35</v>
      </c>
      <c r="H87">
        <v>9652.8459999999995</v>
      </c>
      <c r="I87">
        <v>176419.26300000001</v>
      </c>
      <c r="J87">
        <v>1657497.73</v>
      </c>
      <c r="K87" s="6" t="s">
        <v>239</v>
      </c>
      <c r="L87" s="6" t="s">
        <v>288</v>
      </c>
      <c r="M87" s="6" t="s">
        <v>88</v>
      </c>
    </row>
    <row r="88" spans="1:13" x14ac:dyDescent="0.25">
      <c r="A88" s="6" t="s">
        <v>460</v>
      </c>
      <c r="B88" s="6" t="s">
        <v>32</v>
      </c>
      <c r="C88" s="6" t="s">
        <v>101</v>
      </c>
      <c r="D88" s="6" t="s">
        <v>371</v>
      </c>
      <c r="E88" s="6" t="s">
        <v>372</v>
      </c>
      <c r="F88" s="6" t="s">
        <v>34</v>
      </c>
      <c r="G88" s="6" t="s">
        <v>50</v>
      </c>
      <c r="H88">
        <v>5062.6229999999996</v>
      </c>
      <c r="I88">
        <v>176420.1</v>
      </c>
      <c r="J88">
        <v>1657200.7220000001</v>
      </c>
      <c r="K88" s="6" t="s">
        <v>239</v>
      </c>
      <c r="L88" s="6" t="s">
        <v>288</v>
      </c>
      <c r="M88" s="6" t="s">
        <v>59</v>
      </c>
    </row>
    <row r="89" spans="1:13" x14ac:dyDescent="0.25">
      <c r="A89" s="6" t="s">
        <v>461</v>
      </c>
      <c r="B89" s="6" t="s">
        <v>32</v>
      </c>
      <c r="C89" s="6" t="s">
        <v>182</v>
      </c>
      <c r="D89" s="6" t="s">
        <v>462</v>
      </c>
      <c r="E89" s="6" t="s">
        <v>463</v>
      </c>
      <c r="F89" s="6" t="s">
        <v>34</v>
      </c>
      <c r="G89" s="6" t="s">
        <v>35</v>
      </c>
      <c r="H89">
        <v>10861.861999999999</v>
      </c>
      <c r="I89">
        <v>176426.69200000001</v>
      </c>
      <c r="J89">
        <v>1657760.3149999999</v>
      </c>
      <c r="K89" s="6" t="s">
        <v>239</v>
      </c>
      <c r="L89" s="6" t="s">
        <v>290</v>
      </c>
      <c r="M89" s="6" t="s">
        <v>59</v>
      </c>
    </row>
    <row r="90" spans="1:13" x14ac:dyDescent="0.25">
      <c r="A90" s="6" t="s">
        <v>464</v>
      </c>
      <c r="B90" s="6" t="s">
        <v>32</v>
      </c>
      <c r="C90" s="6" t="s">
        <v>188</v>
      </c>
      <c r="D90" s="6" t="s">
        <v>465</v>
      </c>
      <c r="E90" s="6" t="s">
        <v>466</v>
      </c>
      <c r="F90" s="6" t="s">
        <v>34</v>
      </c>
      <c r="G90" s="6" t="s">
        <v>35</v>
      </c>
      <c r="H90">
        <v>7009.8220000000001</v>
      </c>
      <c r="I90">
        <v>176427.77</v>
      </c>
      <c r="J90">
        <v>1657409.2520000001</v>
      </c>
      <c r="K90" s="6" t="s">
        <v>239</v>
      </c>
      <c r="L90" s="6" t="s">
        <v>288</v>
      </c>
      <c r="M90" s="6" t="s">
        <v>88</v>
      </c>
    </row>
    <row r="91" spans="1:13" x14ac:dyDescent="0.25">
      <c r="A91" s="6" t="s">
        <v>467</v>
      </c>
      <c r="B91" s="6" t="s">
        <v>32</v>
      </c>
      <c r="C91" s="6" t="s">
        <v>221</v>
      </c>
      <c r="D91" s="6" t="s">
        <v>468</v>
      </c>
      <c r="E91" s="6" t="s">
        <v>469</v>
      </c>
      <c r="F91" s="6" t="s">
        <v>34</v>
      </c>
      <c r="G91" s="6" t="s">
        <v>35</v>
      </c>
      <c r="H91">
        <v>10015.525</v>
      </c>
      <c r="I91">
        <v>176427.921</v>
      </c>
      <c r="J91">
        <v>1657561.9920000001</v>
      </c>
      <c r="K91" s="6" t="s">
        <v>239</v>
      </c>
      <c r="L91" s="6" t="s">
        <v>290</v>
      </c>
      <c r="M91" s="6" t="s">
        <v>42</v>
      </c>
    </row>
    <row r="92" spans="1:13" x14ac:dyDescent="0.25">
      <c r="A92" s="6" t="s">
        <v>470</v>
      </c>
      <c r="B92" s="6" t="s">
        <v>32</v>
      </c>
      <c r="C92" s="6" t="s">
        <v>175</v>
      </c>
      <c r="D92" s="6" t="s">
        <v>429</v>
      </c>
      <c r="E92" s="6" t="s">
        <v>430</v>
      </c>
      <c r="F92" s="6" t="s">
        <v>34</v>
      </c>
      <c r="G92" s="6" t="s">
        <v>35</v>
      </c>
      <c r="H92">
        <v>7967.2129999999997</v>
      </c>
      <c r="I92">
        <v>176442.43599999999</v>
      </c>
      <c r="J92">
        <v>1657361.172</v>
      </c>
      <c r="K92" s="6" t="s">
        <v>239</v>
      </c>
      <c r="L92" s="6" t="s">
        <v>288</v>
      </c>
      <c r="M92" s="6" t="s">
        <v>90</v>
      </c>
    </row>
    <row r="93" spans="1:13" x14ac:dyDescent="0.25">
      <c r="A93" s="6" t="s">
        <v>471</v>
      </c>
      <c r="B93" s="6" t="s">
        <v>32</v>
      </c>
      <c r="C93" s="6" t="s">
        <v>189</v>
      </c>
      <c r="D93" s="6" t="s">
        <v>394</v>
      </c>
      <c r="E93" s="6" t="s">
        <v>392</v>
      </c>
      <c r="F93" s="6" t="s">
        <v>32</v>
      </c>
      <c r="G93" s="6" t="s">
        <v>32</v>
      </c>
      <c r="H93">
        <v>3277.7559999999999</v>
      </c>
      <c r="I93">
        <v>176442.49299999999</v>
      </c>
      <c r="J93">
        <v>1657674.5209999999</v>
      </c>
      <c r="K93" s="6" t="s">
        <v>239</v>
      </c>
      <c r="L93" s="6" t="s">
        <v>290</v>
      </c>
      <c r="M93" s="6" t="s">
        <v>44</v>
      </c>
    </row>
    <row r="94" spans="1:13" x14ac:dyDescent="0.25">
      <c r="A94" s="6" t="s">
        <v>472</v>
      </c>
      <c r="B94" s="6" t="s">
        <v>32</v>
      </c>
      <c r="C94" s="6" t="s">
        <v>124</v>
      </c>
      <c r="D94" s="6" t="s">
        <v>473</v>
      </c>
      <c r="E94" s="6" t="s">
        <v>474</v>
      </c>
      <c r="F94" s="6" t="s">
        <v>34</v>
      </c>
      <c r="G94" s="6" t="s">
        <v>50</v>
      </c>
      <c r="H94">
        <v>7079.2780000000002</v>
      </c>
      <c r="I94">
        <v>176446.106</v>
      </c>
      <c r="J94">
        <v>1657210.6510000001</v>
      </c>
      <c r="K94" s="6" t="s">
        <v>239</v>
      </c>
      <c r="L94" s="6" t="s">
        <v>288</v>
      </c>
      <c r="M94" s="6" t="s">
        <v>59</v>
      </c>
    </row>
    <row r="95" spans="1:13" x14ac:dyDescent="0.25">
      <c r="A95" s="6" t="s">
        <v>475</v>
      </c>
      <c r="B95" s="6" t="s">
        <v>32</v>
      </c>
      <c r="C95" s="6" t="s">
        <v>215</v>
      </c>
      <c r="D95" s="6" t="s">
        <v>97</v>
      </c>
      <c r="E95" s="6" t="s">
        <v>392</v>
      </c>
      <c r="F95" s="6" t="s">
        <v>32</v>
      </c>
      <c r="G95" s="6" t="s">
        <v>32</v>
      </c>
      <c r="H95">
        <v>8051.5550000000003</v>
      </c>
      <c r="I95">
        <v>176447.992</v>
      </c>
      <c r="J95">
        <v>1657669.852</v>
      </c>
      <c r="K95" s="6" t="s">
        <v>239</v>
      </c>
      <c r="L95" s="6" t="s">
        <v>290</v>
      </c>
      <c r="M95" s="6" t="s">
        <v>44</v>
      </c>
    </row>
    <row r="96" spans="1:13" x14ac:dyDescent="0.25">
      <c r="A96" s="6" t="s">
        <v>476</v>
      </c>
      <c r="B96" s="6" t="s">
        <v>32</v>
      </c>
      <c r="C96" s="6" t="s">
        <v>76</v>
      </c>
      <c r="D96" s="6" t="s">
        <v>394</v>
      </c>
      <c r="E96" s="6" t="s">
        <v>392</v>
      </c>
      <c r="F96" s="6" t="s">
        <v>32</v>
      </c>
      <c r="G96" s="6" t="s">
        <v>32</v>
      </c>
      <c r="H96">
        <v>3292.2260000000001</v>
      </c>
      <c r="I96">
        <v>176456.179</v>
      </c>
      <c r="J96">
        <v>1657668.2860000001</v>
      </c>
      <c r="K96" s="6" t="s">
        <v>239</v>
      </c>
      <c r="L96" s="6" t="s">
        <v>290</v>
      </c>
      <c r="M96" s="6" t="s">
        <v>44</v>
      </c>
    </row>
    <row r="97" spans="1:13" x14ac:dyDescent="0.25">
      <c r="A97" s="6" t="s">
        <v>477</v>
      </c>
      <c r="B97" s="6" t="s">
        <v>32</v>
      </c>
      <c r="C97" s="6" t="s">
        <v>120</v>
      </c>
      <c r="D97" s="6" t="s">
        <v>419</v>
      </c>
      <c r="E97" s="6" t="s">
        <v>420</v>
      </c>
      <c r="F97" s="6" t="s">
        <v>34</v>
      </c>
      <c r="G97" s="6" t="s">
        <v>35</v>
      </c>
      <c r="H97">
        <v>1687.9870000000001</v>
      </c>
      <c r="I97">
        <v>176459.084</v>
      </c>
      <c r="J97">
        <v>1657601.709</v>
      </c>
      <c r="K97" s="6" t="s">
        <v>239</v>
      </c>
      <c r="L97" s="6" t="s">
        <v>290</v>
      </c>
      <c r="M97" s="6" t="s">
        <v>44</v>
      </c>
    </row>
    <row r="98" spans="1:13" x14ac:dyDescent="0.25">
      <c r="A98" s="6" t="s">
        <v>478</v>
      </c>
      <c r="B98" s="6" t="s">
        <v>32</v>
      </c>
      <c r="C98" s="6" t="s">
        <v>41</v>
      </c>
      <c r="D98" s="6" t="s">
        <v>479</v>
      </c>
      <c r="E98" s="6" t="s">
        <v>480</v>
      </c>
      <c r="F98" s="6" t="s">
        <v>34</v>
      </c>
      <c r="G98" s="6" t="s">
        <v>35</v>
      </c>
      <c r="H98">
        <v>2463.1480000000001</v>
      </c>
      <c r="I98">
        <v>176479.61</v>
      </c>
      <c r="J98">
        <v>1657888.027</v>
      </c>
      <c r="K98" s="6" t="s">
        <v>239</v>
      </c>
      <c r="L98" s="6" t="s">
        <v>290</v>
      </c>
      <c r="M98" s="6" t="s">
        <v>90</v>
      </c>
    </row>
    <row r="99" spans="1:13" x14ac:dyDescent="0.25">
      <c r="A99" s="6" t="s">
        <v>481</v>
      </c>
      <c r="B99" s="6" t="s">
        <v>32</v>
      </c>
      <c r="C99" s="6" t="s">
        <v>204</v>
      </c>
      <c r="D99" s="6" t="s">
        <v>482</v>
      </c>
      <c r="E99" s="6" t="s">
        <v>483</v>
      </c>
      <c r="F99" s="6" t="s">
        <v>34</v>
      </c>
      <c r="G99" s="6" t="s">
        <v>35</v>
      </c>
      <c r="H99">
        <v>2700.4929999999999</v>
      </c>
      <c r="I99">
        <v>176489.465</v>
      </c>
      <c r="J99">
        <v>1657391.5819999999</v>
      </c>
      <c r="K99" s="6" t="s">
        <v>239</v>
      </c>
      <c r="L99" s="6" t="s">
        <v>288</v>
      </c>
      <c r="M99" s="6" t="s">
        <v>90</v>
      </c>
    </row>
    <row r="100" spans="1:13" x14ac:dyDescent="0.25">
      <c r="A100" s="6" t="s">
        <v>484</v>
      </c>
      <c r="B100" s="6" t="s">
        <v>32</v>
      </c>
      <c r="C100" s="6" t="s">
        <v>202</v>
      </c>
      <c r="D100" s="6" t="s">
        <v>485</v>
      </c>
      <c r="E100" s="6" t="s">
        <v>486</v>
      </c>
      <c r="F100" s="6" t="s">
        <v>34</v>
      </c>
      <c r="G100" s="6" t="s">
        <v>50</v>
      </c>
      <c r="H100">
        <v>1995.1110000000001</v>
      </c>
      <c r="I100">
        <v>176490.30499999999</v>
      </c>
      <c r="J100">
        <v>1657818.9310000001</v>
      </c>
      <c r="K100" s="6" t="s">
        <v>239</v>
      </c>
      <c r="L100" s="6" t="s">
        <v>290</v>
      </c>
      <c r="M100" s="6" t="s">
        <v>90</v>
      </c>
    </row>
    <row r="101" spans="1:13" x14ac:dyDescent="0.25">
      <c r="A101" s="6" t="s">
        <v>487</v>
      </c>
      <c r="B101" s="6" t="s">
        <v>32</v>
      </c>
      <c r="C101" s="6" t="s">
        <v>162</v>
      </c>
      <c r="D101" s="6" t="s">
        <v>465</v>
      </c>
      <c r="E101" s="6" t="s">
        <v>466</v>
      </c>
      <c r="F101" s="6" t="s">
        <v>34</v>
      </c>
      <c r="G101" s="6" t="s">
        <v>35</v>
      </c>
      <c r="H101">
        <v>10195.923000000001</v>
      </c>
      <c r="I101">
        <v>176516.87599999999</v>
      </c>
      <c r="J101">
        <v>1657228.8940000001</v>
      </c>
      <c r="K101" s="6" t="s">
        <v>239</v>
      </c>
      <c r="L101" s="6" t="s">
        <v>488</v>
      </c>
      <c r="M101" s="6" t="s">
        <v>54</v>
      </c>
    </row>
    <row r="102" spans="1:13" x14ac:dyDescent="0.25">
      <c r="A102" s="6" t="s">
        <v>489</v>
      </c>
      <c r="B102" s="6" t="s">
        <v>32</v>
      </c>
      <c r="C102" s="6" t="s">
        <v>82</v>
      </c>
      <c r="D102" s="6" t="s">
        <v>490</v>
      </c>
      <c r="E102" s="6" t="s">
        <v>491</v>
      </c>
      <c r="F102" s="6" t="s">
        <v>34</v>
      </c>
      <c r="G102" s="6" t="s">
        <v>35</v>
      </c>
      <c r="H102">
        <v>10490.874</v>
      </c>
      <c r="I102">
        <v>176519.571</v>
      </c>
      <c r="J102">
        <v>1657413.0090000001</v>
      </c>
      <c r="K102" s="6" t="s">
        <v>239</v>
      </c>
      <c r="L102" s="6" t="s">
        <v>488</v>
      </c>
      <c r="M102" s="6" t="s">
        <v>56</v>
      </c>
    </row>
    <row r="103" spans="1:13" x14ac:dyDescent="0.25">
      <c r="A103" s="6" t="s">
        <v>492</v>
      </c>
      <c r="B103" s="6" t="s">
        <v>32</v>
      </c>
      <c r="C103" s="6" t="s">
        <v>214</v>
      </c>
      <c r="D103" s="6" t="s">
        <v>426</v>
      </c>
      <c r="E103" s="6" t="s">
        <v>427</v>
      </c>
      <c r="F103" s="6" t="s">
        <v>34</v>
      </c>
      <c r="G103" s="6" t="s">
        <v>50</v>
      </c>
      <c r="H103">
        <v>4714.8100000000004</v>
      </c>
      <c r="I103">
        <v>176521.31299999999</v>
      </c>
      <c r="J103">
        <v>1657584.2350000001</v>
      </c>
      <c r="K103" s="6" t="s">
        <v>239</v>
      </c>
      <c r="L103" s="6" t="s">
        <v>493</v>
      </c>
      <c r="M103" s="6" t="s">
        <v>51</v>
      </c>
    </row>
    <row r="104" spans="1:13" x14ac:dyDescent="0.25">
      <c r="A104" s="6" t="s">
        <v>494</v>
      </c>
      <c r="B104" s="6" t="s">
        <v>32</v>
      </c>
      <c r="C104" s="6" t="s">
        <v>157</v>
      </c>
      <c r="D104" s="6" t="s">
        <v>495</v>
      </c>
      <c r="E104" s="6" t="s">
        <v>496</v>
      </c>
      <c r="F104" s="6" t="s">
        <v>34</v>
      </c>
      <c r="G104" s="6" t="s">
        <v>35</v>
      </c>
      <c r="H104">
        <v>3650.232</v>
      </c>
      <c r="I104">
        <v>176526.38399999999</v>
      </c>
      <c r="J104">
        <v>1657471.7490000001</v>
      </c>
      <c r="K104" s="6" t="s">
        <v>239</v>
      </c>
      <c r="L104" s="6" t="s">
        <v>488</v>
      </c>
      <c r="M104" s="6" t="s">
        <v>56</v>
      </c>
    </row>
    <row r="105" spans="1:13" x14ac:dyDescent="0.25">
      <c r="A105" s="6" t="s">
        <v>497</v>
      </c>
      <c r="B105" s="6" t="s">
        <v>32</v>
      </c>
      <c r="C105" s="6" t="s">
        <v>154</v>
      </c>
      <c r="D105" s="6" t="s">
        <v>498</v>
      </c>
      <c r="E105" s="6" t="s">
        <v>499</v>
      </c>
      <c r="F105" s="6" t="s">
        <v>34</v>
      </c>
      <c r="G105" s="6" t="s">
        <v>50</v>
      </c>
      <c r="H105">
        <v>2887.7649999999999</v>
      </c>
      <c r="I105">
        <v>176532.565</v>
      </c>
      <c r="J105">
        <v>1657491.9129999999</v>
      </c>
      <c r="K105" s="6" t="s">
        <v>239</v>
      </c>
      <c r="L105" s="6" t="s">
        <v>488</v>
      </c>
      <c r="M105" s="6" t="s">
        <v>56</v>
      </c>
    </row>
    <row r="106" spans="1:13" x14ac:dyDescent="0.25">
      <c r="A106" s="6" t="s">
        <v>500</v>
      </c>
      <c r="B106" s="6" t="s">
        <v>32</v>
      </c>
      <c r="C106" s="6" t="s">
        <v>112</v>
      </c>
      <c r="D106" s="6" t="s">
        <v>501</v>
      </c>
      <c r="E106" s="6" t="s">
        <v>502</v>
      </c>
      <c r="F106" s="6" t="s">
        <v>34</v>
      </c>
      <c r="G106" s="6" t="s">
        <v>50</v>
      </c>
      <c r="H106">
        <v>2037.6510000000001</v>
      </c>
      <c r="I106">
        <v>176536.27</v>
      </c>
      <c r="J106">
        <v>1657291.1680000001</v>
      </c>
      <c r="K106" s="6" t="s">
        <v>239</v>
      </c>
      <c r="L106" s="6" t="s">
        <v>488</v>
      </c>
      <c r="M106" s="6" t="s">
        <v>54</v>
      </c>
    </row>
    <row r="107" spans="1:13" x14ac:dyDescent="0.25">
      <c r="A107" s="6" t="s">
        <v>503</v>
      </c>
      <c r="B107" s="6" t="s">
        <v>32</v>
      </c>
      <c r="C107" s="6" t="s">
        <v>115</v>
      </c>
      <c r="D107" s="6" t="s">
        <v>504</v>
      </c>
      <c r="E107" s="6" t="s">
        <v>505</v>
      </c>
      <c r="F107" s="6" t="s">
        <v>34</v>
      </c>
      <c r="G107" s="6" t="s">
        <v>35</v>
      </c>
      <c r="H107">
        <v>1600.999</v>
      </c>
      <c r="I107">
        <v>176540.36900000001</v>
      </c>
      <c r="J107">
        <v>1657273.2350000001</v>
      </c>
      <c r="K107" s="6" t="s">
        <v>239</v>
      </c>
      <c r="L107" s="6" t="s">
        <v>488</v>
      </c>
      <c r="M107" s="6" t="s">
        <v>54</v>
      </c>
    </row>
    <row r="108" spans="1:13" x14ac:dyDescent="0.25">
      <c r="A108" s="6" t="s">
        <v>506</v>
      </c>
      <c r="B108" s="6" t="s">
        <v>32</v>
      </c>
      <c r="C108" s="6" t="s">
        <v>125</v>
      </c>
      <c r="D108" s="6" t="s">
        <v>507</v>
      </c>
      <c r="E108" s="6" t="s">
        <v>508</v>
      </c>
      <c r="F108" s="6" t="s">
        <v>34</v>
      </c>
      <c r="G108" s="6" t="s">
        <v>35</v>
      </c>
      <c r="H108">
        <v>618.41</v>
      </c>
      <c r="I108">
        <v>176540.77299999999</v>
      </c>
      <c r="J108">
        <v>1657894.791</v>
      </c>
      <c r="K108" s="6" t="s">
        <v>239</v>
      </c>
      <c r="L108" s="6" t="s">
        <v>493</v>
      </c>
      <c r="M108" s="6" t="s">
        <v>48</v>
      </c>
    </row>
    <row r="109" spans="1:13" x14ac:dyDescent="0.25">
      <c r="A109" s="6" t="s">
        <v>509</v>
      </c>
      <c r="B109" s="6" t="s">
        <v>32</v>
      </c>
      <c r="C109" s="6" t="s">
        <v>105</v>
      </c>
      <c r="D109" s="6" t="s">
        <v>510</v>
      </c>
      <c r="E109" s="6" t="s">
        <v>511</v>
      </c>
      <c r="F109" s="6" t="s">
        <v>34</v>
      </c>
      <c r="G109" s="6" t="s">
        <v>50</v>
      </c>
      <c r="H109">
        <v>580.37800000000004</v>
      </c>
      <c r="I109">
        <v>176543.36799999999</v>
      </c>
      <c r="J109">
        <v>1657914.352</v>
      </c>
      <c r="K109" s="6" t="s">
        <v>239</v>
      </c>
      <c r="L109" s="6" t="s">
        <v>493</v>
      </c>
      <c r="M109" s="6" t="s">
        <v>56</v>
      </c>
    </row>
    <row r="110" spans="1:13" x14ac:dyDescent="0.25">
      <c r="A110" s="6" t="s">
        <v>512</v>
      </c>
      <c r="B110" s="6" t="s">
        <v>32</v>
      </c>
      <c r="C110" s="6" t="s">
        <v>133</v>
      </c>
      <c r="D110" s="6" t="s">
        <v>513</v>
      </c>
      <c r="E110" s="6" t="s">
        <v>439</v>
      </c>
      <c r="F110" s="6" t="s">
        <v>34</v>
      </c>
      <c r="G110" s="6" t="s">
        <v>35</v>
      </c>
      <c r="H110">
        <v>7688.4319999999998</v>
      </c>
      <c r="I110">
        <v>176547.397</v>
      </c>
      <c r="J110">
        <v>1657601.8459999999</v>
      </c>
      <c r="K110" s="6" t="s">
        <v>239</v>
      </c>
      <c r="L110" s="6" t="s">
        <v>493</v>
      </c>
      <c r="M110" s="6" t="s">
        <v>103</v>
      </c>
    </row>
    <row r="111" spans="1:13" x14ac:dyDescent="0.25">
      <c r="A111" s="6" t="s">
        <v>514</v>
      </c>
      <c r="B111" s="6" t="s">
        <v>32</v>
      </c>
      <c r="C111" s="6" t="s">
        <v>129</v>
      </c>
      <c r="D111" s="6" t="s">
        <v>515</v>
      </c>
      <c r="E111" s="6" t="s">
        <v>516</v>
      </c>
      <c r="F111" s="6" t="s">
        <v>34</v>
      </c>
      <c r="G111" s="6" t="s">
        <v>35</v>
      </c>
      <c r="H111">
        <v>4213.4189999999999</v>
      </c>
      <c r="I111">
        <v>176557.82</v>
      </c>
      <c r="J111">
        <v>1657683.8910000001</v>
      </c>
      <c r="K111" s="6" t="s">
        <v>239</v>
      </c>
      <c r="L111" s="6" t="s">
        <v>493</v>
      </c>
      <c r="M111" s="6" t="s">
        <v>103</v>
      </c>
    </row>
    <row r="112" spans="1:13" x14ac:dyDescent="0.25">
      <c r="A112" s="6" t="s">
        <v>517</v>
      </c>
      <c r="B112" s="6" t="s">
        <v>32</v>
      </c>
      <c r="C112" s="6" t="s">
        <v>107</v>
      </c>
      <c r="D112" s="6" t="s">
        <v>518</v>
      </c>
      <c r="E112" s="6" t="s">
        <v>519</v>
      </c>
      <c r="F112" s="6" t="s">
        <v>140</v>
      </c>
      <c r="G112" s="6" t="s">
        <v>50</v>
      </c>
      <c r="H112">
        <v>3593.0210000000002</v>
      </c>
      <c r="I112">
        <v>176563.55100000001</v>
      </c>
      <c r="J112">
        <v>1657364.976</v>
      </c>
      <c r="K112" s="6" t="s">
        <v>239</v>
      </c>
      <c r="L112" s="6" t="s">
        <v>488</v>
      </c>
      <c r="M112" s="6" t="s">
        <v>48</v>
      </c>
    </row>
    <row r="113" spans="1:13" x14ac:dyDescent="0.25">
      <c r="A113" s="6" t="s">
        <v>520</v>
      </c>
      <c r="B113" s="6" t="s">
        <v>32</v>
      </c>
      <c r="C113" s="6" t="s">
        <v>100</v>
      </c>
      <c r="D113" s="6" t="s">
        <v>521</v>
      </c>
      <c r="E113" s="6" t="s">
        <v>522</v>
      </c>
      <c r="F113" s="6" t="s">
        <v>34</v>
      </c>
      <c r="G113" s="6" t="s">
        <v>35</v>
      </c>
      <c r="H113">
        <v>1943.8520000000001</v>
      </c>
      <c r="I113">
        <v>176563.74</v>
      </c>
      <c r="J113">
        <v>1657282.679</v>
      </c>
      <c r="K113" s="6" t="s">
        <v>239</v>
      </c>
      <c r="L113" s="6" t="s">
        <v>488</v>
      </c>
      <c r="M113" s="6" t="s">
        <v>54</v>
      </c>
    </row>
    <row r="114" spans="1:13" x14ac:dyDescent="0.25">
      <c r="A114" s="6" t="s">
        <v>523</v>
      </c>
      <c r="B114" s="6" t="s">
        <v>32</v>
      </c>
      <c r="C114" s="6" t="s">
        <v>98</v>
      </c>
      <c r="D114" s="6" t="s">
        <v>524</v>
      </c>
      <c r="E114" s="6" t="s">
        <v>525</v>
      </c>
      <c r="F114" s="6" t="s">
        <v>140</v>
      </c>
      <c r="G114" s="6" t="s">
        <v>35</v>
      </c>
      <c r="H114">
        <v>2251.5619999999999</v>
      </c>
      <c r="I114">
        <v>176569.43100000001</v>
      </c>
      <c r="J114">
        <v>1657295.753</v>
      </c>
      <c r="K114" s="6" t="s">
        <v>239</v>
      </c>
      <c r="L114" s="6" t="s">
        <v>488</v>
      </c>
      <c r="M114" s="6" t="s">
        <v>54</v>
      </c>
    </row>
    <row r="115" spans="1:13" x14ac:dyDescent="0.25">
      <c r="A115" s="6" t="s">
        <v>526</v>
      </c>
      <c r="B115" s="6" t="s">
        <v>32</v>
      </c>
      <c r="C115" s="6" t="s">
        <v>89</v>
      </c>
      <c r="D115" s="6" t="s">
        <v>97</v>
      </c>
      <c r="E115" s="6" t="s">
        <v>392</v>
      </c>
      <c r="F115" s="6" t="s">
        <v>32</v>
      </c>
      <c r="G115" s="6" t="s">
        <v>32</v>
      </c>
      <c r="H115">
        <v>56.466000000000001</v>
      </c>
      <c r="I115">
        <v>176572.769</v>
      </c>
      <c r="J115">
        <v>1657929.8049999999</v>
      </c>
      <c r="K115" s="6" t="s">
        <v>239</v>
      </c>
      <c r="L115" s="6" t="s">
        <v>493</v>
      </c>
      <c r="M115" s="6" t="s">
        <v>56</v>
      </c>
    </row>
    <row r="116" spans="1:13" x14ac:dyDescent="0.25">
      <c r="A116" s="6" t="s">
        <v>527</v>
      </c>
      <c r="B116" s="6" t="s">
        <v>32</v>
      </c>
      <c r="C116" s="6" t="s">
        <v>52</v>
      </c>
      <c r="D116" s="6" t="s">
        <v>455</v>
      </c>
      <c r="E116" s="6" t="s">
        <v>528</v>
      </c>
      <c r="F116" s="6" t="s">
        <v>34</v>
      </c>
      <c r="G116" s="6" t="s">
        <v>35</v>
      </c>
      <c r="H116">
        <v>10797.444</v>
      </c>
      <c r="I116">
        <v>176576.42</v>
      </c>
      <c r="J116">
        <v>1657632.959</v>
      </c>
      <c r="K116" s="6" t="s">
        <v>239</v>
      </c>
      <c r="L116" s="6" t="s">
        <v>493</v>
      </c>
      <c r="M116" s="6" t="s">
        <v>103</v>
      </c>
    </row>
    <row r="117" spans="1:13" x14ac:dyDescent="0.25">
      <c r="A117" s="6" t="s">
        <v>529</v>
      </c>
      <c r="B117" s="6" t="s">
        <v>32</v>
      </c>
      <c r="C117" s="6" t="s">
        <v>118</v>
      </c>
      <c r="D117" s="6" t="s">
        <v>530</v>
      </c>
      <c r="E117" s="6" t="s">
        <v>531</v>
      </c>
      <c r="F117" s="6" t="s">
        <v>34</v>
      </c>
      <c r="G117" s="6" t="s">
        <v>35</v>
      </c>
      <c r="H117">
        <v>4737.7910000000002</v>
      </c>
      <c r="I117">
        <v>176577.14600000001</v>
      </c>
      <c r="J117">
        <v>1657709.986</v>
      </c>
      <c r="K117" s="6" t="s">
        <v>239</v>
      </c>
      <c r="L117" s="6" t="s">
        <v>493</v>
      </c>
      <c r="M117" s="6" t="s">
        <v>54</v>
      </c>
    </row>
    <row r="118" spans="1:13" x14ac:dyDescent="0.25">
      <c r="A118" s="6" t="s">
        <v>532</v>
      </c>
      <c r="B118" s="6" t="s">
        <v>32</v>
      </c>
      <c r="C118" s="6" t="s">
        <v>106</v>
      </c>
      <c r="D118" s="6" t="s">
        <v>533</v>
      </c>
      <c r="E118" s="6" t="s">
        <v>534</v>
      </c>
      <c r="F118" s="6" t="s">
        <v>34</v>
      </c>
      <c r="G118" s="6" t="s">
        <v>35</v>
      </c>
      <c r="H118">
        <v>3517.1089999999999</v>
      </c>
      <c r="I118">
        <v>176586.71400000001</v>
      </c>
      <c r="J118">
        <v>1657308.6850000001</v>
      </c>
      <c r="K118" s="6" t="s">
        <v>239</v>
      </c>
      <c r="L118" s="6" t="s">
        <v>488</v>
      </c>
      <c r="M118" s="6" t="s">
        <v>48</v>
      </c>
    </row>
    <row r="119" spans="1:13" x14ac:dyDescent="0.25">
      <c r="A119" s="6" t="s">
        <v>535</v>
      </c>
      <c r="B119" s="6" t="s">
        <v>32</v>
      </c>
      <c r="C119" s="6" t="s">
        <v>119</v>
      </c>
      <c r="D119" s="6" t="s">
        <v>536</v>
      </c>
      <c r="E119" s="6" t="s">
        <v>537</v>
      </c>
      <c r="F119" s="6" t="s">
        <v>34</v>
      </c>
      <c r="G119" s="6" t="s">
        <v>50</v>
      </c>
      <c r="H119">
        <v>1122.3779999999999</v>
      </c>
      <c r="I119">
        <v>176603.45</v>
      </c>
      <c r="J119">
        <v>1657413.557</v>
      </c>
      <c r="K119" s="6" t="s">
        <v>239</v>
      </c>
      <c r="L119" s="6" t="s">
        <v>488</v>
      </c>
      <c r="M119" s="6" t="s">
        <v>62</v>
      </c>
    </row>
    <row r="120" spans="1:13" x14ac:dyDescent="0.25">
      <c r="A120" s="6" t="s">
        <v>538</v>
      </c>
      <c r="B120" s="6" t="s">
        <v>32</v>
      </c>
      <c r="C120" s="6" t="s">
        <v>138</v>
      </c>
      <c r="D120" s="6" t="s">
        <v>539</v>
      </c>
      <c r="E120" s="6" t="s">
        <v>540</v>
      </c>
      <c r="F120" s="6" t="s">
        <v>34</v>
      </c>
      <c r="G120" s="6" t="s">
        <v>35</v>
      </c>
      <c r="H120">
        <v>7008.9279999999999</v>
      </c>
      <c r="I120">
        <v>176611.158</v>
      </c>
      <c r="J120">
        <v>1657473.1540000001</v>
      </c>
      <c r="K120" s="6" t="s">
        <v>239</v>
      </c>
      <c r="L120" s="6" t="s">
        <v>488</v>
      </c>
      <c r="M120" s="6" t="s">
        <v>62</v>
      </c>
    </row>
    <row r="121" spans="1:13" x14ac:dyDescent="0.25">
      <c r="A121" s="6" t="s">
        <v>541</v>
      </c>
      <c r="B121" s="6" t="s">
        <v>32</v>
      </c>
      <c r="C121" s="6" t="s">
        <v>156</v>
      </c>
      <c r="D121" s="6" t="s">
        <v>542</v>
      </c>
      <c r="E121" s="6" t="s">
        <v>543</v>
      </c>
      <c r="F121" s="6" t="s">
        <v>34</v>
      </c>
      <c r="G121" s="6" t="s">
        <v>35</v>
      </c>
      <c r="H121">
        <v>6504.3379999999997</v>
      </c>
      <c r="I121">
        <v>176614.39</v>
      </c>
      <c r="J121">
        <v>1657741.0630000001</v>
      </c>
      <c r="K121" s="6" t="s">
        <v>239</v>
      </c>
      <c r="L121" s="6" t="s">
        <v>493</v>
      </c>
      <c r="M121" s="6" t="s">
        <v>111</v>
      </c>
    </row>
    <row r="122" spans="1:13" x14ac:dyDescent="0.25">
      <c r="A122" s="6" t="s">
        <v>544</v>
      </c>
      <c r="B122" s="6" t="s">
        <v>32</v>
      </c>
      <c r="C122" s="6" t="s">
        <v>67</v>
      </c>
      <c r="D122" s="6" t="s">
        <v>545</v>
      </c>
      <c r="E122" s="6" t="s">
        <v>508</v>
      </c>
      <c r="F122" s="6" t="s">
        <v>34</v>
      </c>
      <c r="G122" s="6" t="s">
        <v>35</v>
      </c>
      <c r="H122">
        <v>2443.2179999999998</v>
      </c>
      <c r="I122">
        <v>176614.63800000001</v>
      </c>
      <c r="J122">
        <v>1657869.172</v>
      </c>
      <c r="K122" s="6" t="s">
        <v>239</v>
      </c>
      <c r="L122" s="6" t="s">
        <v>493</v>
      </c>
      <c r="M122" s="6" t="s">
        <v>117</v>
      </c>
    </row>
    <row r="123" spans="1:13" x14ac:dyDescent="0.25">
      <c r="A123" s="6" t="s">
        <v>546</v>
      </c>
      <c r="B123" s="6" t="s">
        <v>32</v>
      </c>
      <c r="C123" s="6" t="s">
        <v>164</v>
      </c>
      <c r="D123" s="6" t="s">
        <v>462</v>
      </c>
      <c r="E123" s="6" t="s">
        <v>463</v>
      </c>
      <c r="F123" s="6" t="s">
        <v>34</v>
      </c>
      <c r="G123" s="6" t="s">
        <v>35</v>
      </c>
      <c r="H123">
        <v>4450.1540000000005</v>
      </c>
      <c r="I123">
        <v>176615.72399999999</v>
      </c>
      <c r="J123">
        <v>1657782.75</v>
      </c>
      <c r="K123" s="6" t="s">
        <v>239</v>
      </c>
      <c r="L123" s="6" t="s">
        <v>493</v>
      </c>
      <c r="M123" s="6" t="s">
        <v>111</v>
      </c>
    </row>
    <row r="124" spans="1:13" x14ac:dyDescent="0.25">
      <c r="A124" s="6" t="s">
        <v>547</v>
      </c>
      <c r="B124" s="6" t="s">
        <v>32</v>
      </c>
      <c r="C124" s="6" t="s">
        <v>33</v>
      </c>
      <c r="D124" s="6" t="s">
        <v>485</v>
      </c>
      <c r="E124" s="6" t="s">
        <v>486</v>
      </c>
      <c r="F124" s="6" t="s">
        <v>34</v>
      </c>
      <c r="G124" s="6" t="s">
        <v>50</v>
      </c>
      <c r="H124">
        <v>2056.7130000000002</v>
      </c>
      <c r="I124">
        <v>176615.96400000001</v>
      </c>
      <c r="J124">
        <v>1657847.6540000001</v>
      </c>
      <c r="K124" s="6" t="s">
        <v>239</v>
      </c>
      <c r="L124" s="6" t="s">
        <v>493</v>
      </c>
      <c r="M124" s="6" t="s">
        <v>117</v>
      </c>
    </row>
    <row r="125" spans="1:13" x14ac:dyDescent="0.25">
      <c r="A125" s="6" t="s">
        <v>548</v>
      </c>
      <c r="B125" s="6" t="s">
        <v>32</v>
      </c>
      <c r="C125" s="6" t="s">
        <v>87</v>
      </c>
      <c r="D125" s="6" t="s">
        <v>507</v>
      </c>
      <c r="E125" s="6" t="s">
        <v>508</v>
      </c>
      <c r="F125" s="6" t="s">
        <v>34</v>
      </c>
      <c r="G125" s="6" t="s">
        <v>35</v>
      </c>
      <c r="H125">
        <v>2563.6390000000001</v>
      </c>
      <c r="I125">
        <v>176616.30100000001</v>
      </c>
      <c r="J125">
        <v>1657898.2830000001</v>
      </c>
      <c r="K125" s="6" t="s">
        <v>239</v>
      </c>
      <c r="L125" s="6" t="s">
        <v>493</v>
      </c>
      <c r="M125" s="6" t="s">
        <v>117</v>
      </c>
    </row>
    <row r="126" spans="1:13" x14ac:dyDescent="0.25">
      <c r="A126" s="6" t="s">
        <v>549</v>
      </c>
      <c r="B126" s="6" t="s">
        <v>32</v>
      </c>
      <c r="C126" s="6" t="s">
        <v>167</v>
      </c>
      <c r="D126" s="6" t="s">
        <v>419</v>
      </c>
      <c r="E126" s="6" t="s">
        <v>420</v>
      </c>
      <c r="F126" s="6" t="s">
        <v>34</v>
      </c>
      <c r="G126" s="6" t="s">
        <v>35</v>
      </c>
      <c r="H126">
        <v>4178.674</v>
      </c>
      <c r="I126">
        <v>176618.913</v>
      </c>
      <c r="J126">
        <v>1657488.9069999999</v>
      </c>
      <c r="K126" s="6" t="s">
        <v>239</v>
      </c>
      <c r="L126" s="6" t="s">
        <v>488</v>
      </c>
      <c r="M126" s="6" t="s">
        <v>62</v>
      </c>
    </row>
    <row r="127" spans="1:13" x14ac:dyDescent="0.25">
      <c r="A127" s="6" t="s">
        <v>550</v>
      </c>
      <c r="B127" s="6" t="s">
        <v>32</v>
      </c>
      <c r="C127" s="6" t="s">
        <v>99</v>
      </c>
      <c r="D127" s="6" t="s">
        <v>551</v>
      </c>
      <c r="E127" s="6" t="s">
        <v>511</v>
      </c>
      <c r="F127" s="6" t="s">
        <v>34</v>
      </c>
      <c r="G127" s="6" t="s">
        <v>50</v>
      </c>
      <c r="H127">
        <v>1269.2739999999999</v>
      </c>
      <c r="I127">
        <v>176619.83799999999</v>
      </c>
      <c r="J127">
        <v>1657922.3770000001</v>
      </c>
      <c r="K127" s="6" t="s">
        <v>239</v>
      </c>
      <c r="L127" s="6" t="s">
        <v>493</v>
      </c>
      <c r="M127" s="6" t="s">
        <v>62</v>
      </c>
    </row>
    <row r="128" spans="1:13" x14ac:dyDescent="0.25">
      <c r="A128" s="6" t="s">
        <v>552</v>
      </c>
      <c r="B128" s="6" t="s">
        <v>32</v>
      </c>
      <c r="C128" s="6" t="s">
        <v>39</v>
      </c>
      <c r="D128" s="6" t="s">
        <v>97</v>
      </c>
      <c r="E128" s="6" t="s">
        <v>392</v>
      </c>
      <c r="F128" s="6" t="s">
        <v>32</v>
      </c>
      <c r="G128" s="6" t="s">
        <v>32</v>
      </c>
      <c r="H128">
        <v>559.92700000000002</v>
      </c>
      <c r="I128">
        <v>176624.092</v>
      </c>
      <c r="J128">
        <v>1657933.2520000001</v>
      </c>
      <c r="K128" s="6" t="s">
        <v>239</v>
      </c>
      <c r="L128" s="6" t="s">
        <v>493</v>
      </c>
      <c r="M128" s="6" t="s">
        <v>62</v>
      </c>
    </row>
    <row r="129" spans="1:13" x14ac:dyDescent="0.25">
      <c r="A129" s="6" t="s">
        <v>553</v>
      </c>
      <c r="B129" s="6" t="s">
        <v>32</v>
      </c>
      <c r="C129" s="6" t="s">
        <v>169</v>
      </c>
      <c r="D129" s="6" t="s">
        <v>554</v>
      </c>
      <c r="E129" s="6" t="s">
        <v>555</v>
      </c>
      <c r="F129" s="6" t="s">
        <v>34</v>
      </c>
      <c r="G129" s="6" t="s">
        <v>50</v>
      </c>
      <c r="H129">
        <v>5206.5619999999999</v>
      </c>
      <c r="I129">
        <v>176625.99400000001</v>
      </c>
      <c r="J129">
        <v>1657502.0049999999</v>
      </c>
      <c r="K129" s="6" t="s">
        <v>239</v>
      </c>
      <c r="L129" s="6" t="s">
        <v>493</v>
      </c>
      <c r="M129" s="6" t="s">
        <v>66</v>
      </c>
    </row>
    <row r="130" spans="1:13" x14ac:dyDescent="0.25">
      <c r="A130" s="6" t="s">
        <v>556</v>
      </c>
      <c r="B130" s="6" t="s">
        <v>32</v>
      </c>
      <c r="C130" s="6" t="s">
        <v>186</v>
      </c>
      <c r="D130" s="6" t="s">
        <v>278</v>
      </c>
      <c r="E130" s="6" t="s">
        <v>279</v>
      </c>
      <c r="F130" s="6" t="s">
        <v>34</v>
      </c>
      <c r="G130" s="6" t="s">
        <v>50</v>
      </c>
      <c r="H130">
        <v>2193.9870000000001</v>
      </c>
      <c r="I130">
        <v>176627.136</v>
      </c>
      <c r="J130">
        <v>1657311.277</v>
      </c>
      <c r="K130" s="6" t="s">
        <v>239</v>
      </c>
      <c r="L130" s="6" t="s">
        <v>488</v>
      </c>
      <c r="M130" s="6" t="s">
        <v>117</v>
      </c>
    </row>
    <row r="131" spans="1:13" x14ac:dyDescent="0.25">
      <c r="A131" s="6" t="s">
        <v>557</v>
      </c>
      <c r="B131" s="6" t="s">
        <v>32</v>
      </c>
      <c r="C131" s="6" t="s">
        <v>229</v>
      </c>
      <c r="D131" s="6" t="s">
        <v>558</v>
      </c>
      <c r="E131" s="6" t="s">
        <v>626</v>
      </c>
      <c r="F131" s="6" t="s">
        <v>34</v>
      </c>
      <c r="G131" s="6" t="s">
        <v>35</v>
      </c>
      <c r="H131">
        <v>2739.8510000000001</v>
      </c>
      <c r="I131">
        <v>176632.098</v>
      </c>
      <c r="J131">
        <v>1657380.9</v>
      </c>
      <c r="K131" s="6" t="s">
        <v>239</v>
      </c>
      <c r="L131" s="6" t="s">
        <v>488</v>
      </c>
      <c r="M131" s="6" t="s">
        <v>117</v>
      </c>
    </row>
    <row r="132" spans="1:13" x14ac:dyDescent="0.25">
      <c r="A132" s="6" t="s">
        <v>559</v>
      </c>
      <c r="B132" s="6" t="s">
        <v>32</v>
      </c>
      <c r="C132" s="6" t="s">
        <v>139</v>
      </c>
      <c r="D132" s="6" t="s">
        <v>272</v>
      </c>
      <c r="E132" s="6" t="s">
        <v>273</v>
      </c>
      <c r="F132" s="6" t="s">
        <v>34</v>
      </c>
      <c r="G132" s="6" t="s">
        <v>35</v>
      </c>
      <c r="H132">
        <v>6696.1409999999996</v>
      </c>
      <c r="I132">
        <v>176644.61499999999</v>
      </c>
      <c r="J132">
        <v>1657819.9080000001</v>
      </c>
      <c r="K132" s="6" t="s">
        <v>239</v>
      </c>
      <c r="L132" s="6" t="s">
        <v>493</v>
      </c>
      <c r="M132" s="6" t="s">
        <v>117</v>
      </c>
    </row>
    <row r="133" spans="1:13" x14ac:dyDescent="0.25">
      <c r="A133" s="6" t="s">
        <v>560</v>
      </c>
      <c r="B133" s="6" t="s">
        <v>32</v>
      </c>
      <c r="C133" s="6" t="s">
        <v>210</v>
      </c>
      <c r="D133" s="6" t="s">
        <v>561</v>
      </c>
      <c r="E133" s="6" t="s">
        <v>626</v>
      </c>
      <c r="F133" s="6" t="s">
        <v>34</v>
      </c>
      <c r="G133" s="6" t="s">
        <v>35</v>
      </c>
      <c r="H133">
        <v>2695.19</v>
      </c>
      <c r="I133">
        <v>176663.076</v>
      </c>
      <c r="J133">
        <v>1657402.179</v>
      </c>
      <c r="K133" s="6" t="s">
        <v>239</v>
      </c>
      <c r="L133" s="6" t="s">
        <v>488</v>
      </c>
      <c r="M133" s="6" t="s">
        <v>62</v>
      </c>
    </row>
    <row r="134" spans="1:13" x14ac:dyDescent="0.25">
      <c r="A134" s="6" t="s">
        <v>562</v>
      </c>
      <c r="B134" s="6" t="s">
        <v>32</v>
      </c>
      <c r="C134" s="6" t="s">
        <v>232</v>
      </c>
      <c r="D134" s="6" t="s">
        <v>563</v>
      </c>
      <c r="E134" s="6" t="s">
        <v>564</v>
      </c>
      <c r="F134" s="6" t="s">
        <v>34</v>
      </c>
      <c r="G134" s="6" t="s">
        <v>50</v>
      </c>
      <c r="H134">
        <v>2672.0709999999999</v>
      </c>
      <c r="I134">
        <v>176668.717</v>
      </c>
      <c r="J134">
        <v>1657420.4010000001</v>
      </c>
      <c r="K134" s="6" t="s">
        <v>239</v>
      </c>
      <c r="L134" s="6" t="s">
        <v>488</v>
      </c>
      <c r="M134" s="6" t="s">
        <v>62</v>
      </c>
    </row>
    <row r="135" spans="1:13" x14ac:dyDescent="0.25">
      <c r="A135" s="6" t="s">
        <v>565</v>
      </c>
      <c r="B135" s="6" t="s">
        <v>32</v>
      </c>
      <c r="C135" s="6" t="s">
        <v>211</v>
      </c>
      <c r="D135" s="6" t="s">
        <v>566</v>
      </c>
      <c r="E135" s="6" t="s">
        <v>567</v>
      </c>
      <c r="F135" s="6" t="s">
        <v>34</v>
      </c>
      <c r="G135" s="6" t="s">
        <v>35</v>
      </c>
      <c r="H135">
        <v>6680.41</v>
      </c>
      <c r="I135">
        <v>176672.81</v>
      </c>
      <c r="J135">
        <v>1657645.085</v>
      </c>
      <c r="K135" s="6" t="s">
        <v>239</v>
      </c>
      <c r="L135" s="6" t="s">
        <v>493</v>
      </c>
      <c r="M135" s="6" t="s">
        <v>109</v>
      </c>
    </row>
    <row r="136" spans="1:13" x14ac:dyDescent="0.25">
      <c r="A136" s="6" t="s">
        <v>568</v>
      </c>
      <c r="B136" s="6" t="s">
        <v>32</v>
      </c>
      <c r="C136" s="6" t="s">
        <v>234</v>
      </c>
      <c r="D136" s="6" t="s">
        <v>272</v>
      </c>
      <c r="E136" s="6" t="s">
        <v>273</v>
      </c>
      <c r="F136" s="6" t="s">
        <v>34</v>
      </c>
      <c r="G136" s="6" t="s">
        <v>35</v>
      </c>
      <c r="H136">
        <v>2183.357</v>
      </c>
      <c r="I136">
        <v>176675.18599999999</v>
      </c>
      <c r="J136">
        <v>1657900.25</v>
      </c>
      <c r="K136" s="6" t="s">
        <v>239</v>
      </c>
      <c r="L136" s="6" t="s">
        <v>493</v>
      </c>
      <c r="M136" s="6" t="s">
        <v>62</v>
      </c>
    </row>
    <row r="137" spans="1:13" x14ac:dyDescent="0.25">
      <c r="A137" s="6" t="s">
        <v>569</v>
      </c>
      <c r="B137" s="6" t="s">
        <v>32</v>
      </c>
      <c r="C137" s="6" t="s">
        <v>227</v>
      </c>
      <c r="D137" s="6" t="s">
        <v>570</v>
      </c>
      <c r="E137" s="6" t="s">
        <v>571</v>
      </c>
      <c r="F137" s="6" t="s">
        <v>34</v>
      </c>
      <c r="G137" s="6" t="s">
        <v>50</v>
      </c>
      <c r="H137">
        <v>1272.1420000000001</v>
      </c>
      <c r="I137">
        <v>176677.79300000001</v>
      </c>
      <c r="J137">
        <v>1657375.3940000001</v>
      </c>
      <c r="K137" s="6" t="s">
        <v>239</v>
      </c>
      <c r="L137" s="6" t="s">
        <v>488</v>
      </c>
      <c r="M137" s="6" t="s">
        <v>117</v>
      </c>
    </row>
    <row r="138" spans="1:13" x14ac:dyDescent="0.25">
      <c r="A138" s="6" t="s">
        <v>572</v>
      </c>
      <c r="B138" s="6" t="s">
        <v>32</v>
      </c>
      <c r="C138" s="6" t="s">
        <v>163</v>
      </c>
      <c r="D138" s="6" t="s">
        <v>97</v>
      </c>
      <c r="E138" s="6" t="s">
        <v>392</v>
      </c>
      <c r="F138" s="6" t="s">
        <v>32</v>
      </c>
      <c r="G138" s="6" t="s">
        <v>32</v>
      </c>
      <c r="H138">
        <v>17.074000000000002</v>
      </c>
      <c r="I138">
        <v>176678.98300000001</v>
      </c>
      <c r="J138">
        <v>1657936.8489999999</v>
      </c>
      <c r="K138" s="6" t="s">
        <v>239</v>
      </c>
      <c r="L138" s="6" t="s">
        <v>493</v>
      </c>
      <c r="M138" s="6" t="s">
        <v>62</v>
      </c>
    </row>
    <row r="139" spans="1:13" x14ac:dyDescent="0.25">
      <c r="A139" s="6" t="s">
        <v>573</v>
      </c>
      <c r="B139" s="6" t="s">
        <v>32</v>
      </c>
      <c r="C139" s="6" t="s">
        <v>83</v>
      </c>
      <c r="D139" s="6" t="s">
        <v>574</v>
      </c>
      <c r="E139" s="6" t="s">
        <v>575</v>
      </c>
      <c r="F139" s="6" t="s">
        <v>140</v>
      </c>
      <c r="G139" s="6" t="s">
        <v>35</v>
      </c>
      <c r="H139">
        <v>2362.5729999999999</v>
      </c>
      <c r="I139">
        <v>176684.21599999999</v>
      </c>
      <c r="J139">
        <v>1657489.9069999999</v>
      </c>
      <c r="K139" s="6" t="s">
        <v>239</v>
      </c>
      <c r="L139" s="6" t="s">
        <v>488</v>
      </c>
      <c r="M139" s="6" t="s">
        <v>62</v>
      </c>
    </row>
    <row r="140" spans="1:13" x14ac:dyDescent="0.25">
      <c r="A140" s="6" t="s">
        <v>576</v>
      </c>
      <c r="B140" s="6" t="s">
        <v>32</v>
      </c>
      <c r="C140" s="6" t="s">
        <v>148</v>
      </c>
      <c r="D140" s="6" t="s">
        <v>577</v>
      </c>
      <c r="E140" s="6" t="s">
        <v>578</v>
      </c>
      <c r="F140" s="6" t="s">
        <v>34</v>
      </c>
      <c r="G140" s="6" t="s">
        <v>50</v>
      </c>
      <c r="H140">
        <v>805.00099999999998</v>
      </c>
      <c r="I140">
        <v>176690.33600000001</v>
      </c>
      <c r="J140">
        <v>1657856.6040000001</v>
      </c>
      <c r="K140" s="6" t="s">
        <v>239</v>
      </c>
      <c r="L140" s="6" t="s">
        <v>493</v>
      </c>
      <c r="M140" s="6" t="s">
        <v>117</v>
      </c>
    </row>
    <row r="141" spans="1:13" x14ac:dyDescent="0.25">
      <c r="A141" s="6" t="s">
        <v>579</v>
      </c>
      <c r="B141" s="6" t="s">
        <v>32</v>
      </c>
      <c r="C141" s="6" t="s">
        <v>73</v>
      </c>
      <c r="D141" s="6" t="s">
        <v>47</v>
      </c>
      <c r="E141" s="6" t="s">
        <v>580</v>
      </c>
      <c r="F141" s="6" t="s">
        <v>34</v>
      </c>
      <c r="G141" s="6" t="s">
        <v>50</v>
      </c>
      <c r="H141">
        <v>5443.1769999999997</v>
      </c>
      <c r="I141">
        <v>176704.85</v>
      </c>
      <c r="J141">
        <v>1657505.2169999999</v>
      </c>
      <c r="K141" s="6" t="s">
        <v>239</v>
      </c>
      <c r="L141" s="6" t="s">
        <v>493</v>
      </c>
      <c r="M141" s="6" t="s">
        <v>71</v>
      </c>
    </row>
    <row r="142" spans="1:13" x14ac:dyDescent="0.25">
      <c r="A142" s="6" t="s">
        <v>581</v>
      </c>
      <c r="B142" s="6" t="s">
        <v>32</v>
      </c>
      <c r="C142" s="6" t="s">
        <v>93</v>
      </c>
      <c r="D142" s="6" t="s">
        <v>292</v>
      </c>
      <c r="E142" s="6" t="s">
        <v>293</v>
      </c>
      <c r="F142" s="6" t="s">
        <v>34</v>
      </c>
      <c r="G142" s="6" t="s">
        <v>35</v>
      </c>
      <c r="H142">
        <v>7572.3789999999999</v>
      </c>
      <c r="I142">
        <v>176705.8</v>
      </c>
      <c r="J142">
        <v>1657707.781</v>
      </c>
      <c r="K142" s="6" t="s">
        <v>239</v>
      </c>
      <c r="L142" s="6" t="s">
        <v>493</v>
      </c>
      <c r="M142" s="6" t="s">
        <v>36</v>
      </c>
    </row>
    <row r="143" spans="1:13" x14ac:dyDescent="0.25">
      <c r="A143" s="6" t="s">
        <v>582</v>
      </c>
      <c r="B143" s="6" t="s">
        <v>32</v>
      </c>
      <c r="C143" s="6" t="s">
        <v>94</v>
      </c>
      <c r="D143" s="6" t="s">
        <v>438</v>
      </c>
      <c r="E143" s="6" t="s">
        <v>439</v>
      </c>
      <c r="F143" s="6" t="s">
        <v>34</v>
      </c>
      <c r="G143" s="6" t="s">
        <v>35</v>
      </c>
      <c r="H143">
        <v>661.58199999999999</v>
      </c>
      <c r="I143">
        <v>176719.092</v>
      </c>
      <c r="J143">
        <v>1657805.838</v>
      </c>
      <c r="K143" s="6" t="s">
        <v>239</v>
      </c>
      <c r="L143" s="6" t="s">
        <v>493</v>
      </c>
      <c r="M143" s="6" t="s">
        <v>74</v>
      </c>
    </row>
    <row r="144" spans="1:13" x14ac:dyDescent="0.25">
      <c r="A144" s="6" t="s">
        <v>583</v>
      </c>
      <c r="B144" s="6" t="s">
        <v>32</v>
      </c>
      <c r="C144" s="6" t="s">
        <v>149</v>
      </c>
      <c r="D144" s="6" t="s">
        <v>97</v>
      </c>
      <c r="E144" s="6" t="s">
        <v>392</v>
      </c>
      <c r="F144" s="6" t="s">
        <v>32</v>
      </c>
      <c r="G144" s="6" t="s">
        <v>32</v>
      </c>
      <c r="H144">
        <v>1211.288</v>
      </c>
      <c r="I144">
        <v>176734.55499999999</v>
      </c>
      <c r="J144">
        <v>1657818.138</v>
      </c>
      <c r="K144" s="6" t="s">
        <v>239</v>
      </c>
      <c r="L144" s="6" t="s">
        <v>493</v>
      </c>
      <c r="M144" s="6" t="s">
        <v>74</v>
      </c>
    </row>
    <row r="145" spans="1:13" x14ac:dyDescent="0.25">
      <c r="A145" s="6" t="s">
        <v>584</v>
      </c>
      <c r="B145" s="6" t="s">
        <v>32</v>
      </c>
      <c r="C145" s="6" t="s">
        <v>128</v>
      </c>
      <c r="D145" s="6" t="s">
        <v>585</v>
      </c>
      <c r="E145" s="6" t="s">
        <v>586</v>
      </c>
      <c r="F145" s="6" t="s">
        <v>34</v>
      </c>
      <c r="G145" s="6" t="s">
        <v>50</v>
      </c>
      <c r="H145">
        <v>1369.6079999999999</v>
      </c>
      <c r="I145">
        <v>176741.48499999999</v>
      </c>
      <c r="J145">
        <v>1657780.3810000001</v>
      </c>
      <c r="K145" s="6" t="s">
        <v>239</v>
      </c>
      <c r="L145" s="6" t="s">
        <v>493</v>
      </c>
      <c r="M145" s="6" t="s">
        <v>36</v>
      </c>
    </row>
    <row r="146" spans="1:13" x14ac:dyDescent="0.25">
      <c r="A146" s="6" t="s">
        <v>587</v>
      </c>
      <c r="B146" s="6" t="s">
        <v>32</v>
      </c>
      <c r="C146" s="6" t="s">
        <v>60</v>
      </c>
      <c r="D146" s="6" t="s">
        <v>272</v>
      </c>
      <c r="E146" s="6" t="s">
        <v>273</v>
      </c>
      <c r="F146" s="6" t="s">
        <v>34</v>
      </c>
      <c r="G146" s="6" t="s">
        <v>35</v>
      </c>
      <c r="H146">
        <v>7368.723</v>
      </c>
      <c r="I146">
        <v>176758.91699999999</v>
      </c>
      <c r="J146">
        <v>1657900.916</v>
      </c>
      <c r="K146" s="6" t="s">
        <v>239</v>
      </c>
      <c r="L146" s="6" t="s">
        <v>493</v>
      </c>
      <c r="M146" s="6" t="s">
        <v>136</v>
      </c>
    </row>
    <row r="147" spans="1:13" x14ac:dyDescent="0.25">
      <c r="A147" s="6" t="s">
        <v>588</v>
      </c>
      <c r="B147" s="6" t="s">
        <v>32</v>
      </c>
      <c r="C147" s="6" t="s">
        <v>79</v>
      </c>
      <c r="D147" s="6" t="s">
        <v>589</v>
      </c>
      <c r="E147" s="6" t="s">
        <v>590</v>
      </c>
      <c r="F147" s="6" t="s">
        <v>34</v>
      </c>
      <c r="G147" s="6" t="s">
        <v>35</v>
      </c>
      <c r="H147">
        <v>1594.3219999999999</v>
      </c>
      <c r="I147">
        <v>176764.72700000001</v>
      </c>
      <c r="J147">
        <v>1657935.477</v>
      </c>
      <c r="K147" s="6" t="s">
        <v>239</v>
      </c>
      <c r="L147" s="6" t="s">
        <v>493</v>
      </c>
      <c r="M147" s="6" t="s">
        <v>136</v>
      </c>
    </row>
    <row r="148" spans="1:13" x14ac:dyDescent="0.25">
      <c r="A148" s="6" t="s">
        <v>591</v>
      </c>
      <c r="B148" s="6" t="s">
        <v>32</v>
      </c>
      <c r="C148" s="6" t="s">
        <v>224</v>
      </c>
      <c r="D148" s="6" t="s">
        <v>97</v>
      </c>
      <c r="E148" s="6" t="s">
        <v>392</v>
      </c>
      <c r="F148" s="6" t="s">
        <v>32</v>
      </c>
      <c r="G148" s="6" t="s">
        <v>32</v>
      </c>
      <c r="H148">
        <v>990.87199999999996</v>
      </c>
      <c r="I148">
        <v>176765.30300000001</v>
      </c>
      <c r="J148">
        <v>1657945.3259999999</v>
      </c>
      <c r="K148" s="6" t="s">
        <v>239</v>
      </c>
      <c r="L148" s="6" t="s">
        <v>493</v>
      </c>
      <c r="M148" s="6" t="s">
        <v>136</v>
      </c>
    </row>
    <row r="149" spans="1:13" x14ac:dyDescent="0.25">
      <c r="A149" s="6" t="s">
        <v>592</v>
      </c>
      <c r="B149" s="6" t="s">
        <v>32</v>
      </c>
      <c r="C149" s="6" t="s">
        <v>122</v>
      </c>
      <c r="D149" s="6" t="s">
        <v>490</v>
      </c>
      <c r="E149" s="6" t="s">
        <v>491</v>
      </c>
      <c r="F149" s="6" t="s">
        <v>140</v>
      </c>
      <c r="G149" s="6" t="s">
        <v>35</v>
      </c>
      <c r="H149">
        <v>562.93399999999997</v>
      </c>
      <c r="I149">
        <v>176768.13500000001</v>
      </c>
      <c r="J149">
        <v>1657449.6580000001</v>
      </c>
      <c r="K149" s="6" t="s">
        <v>239</v>
      </c>
      <c r="L149" s="6" t="s">
        <v>488</v>
      </c>
      <c r="M149" s="6" t="s">
        <v>136</v>
      </c>
    </row>
    <row r="150" spans="1:13" x14ac:dyDescent="0.25">
      <c r="A150" s="6" t="s">
        <v>593</v>
      </c>
      <c r="B150" s="6" t="s">
        <v>32</v>
      </c>
      <c r="C150" s="6" t="s">
        <v>55</v>
      </c>
      <c r="D150" s="6" t="s">
        <v>594</v>
      </c>
      <c r="E150" s="6" t="s">
        <v>626</v>
      </c>
      <c r="F150" s="6" t="s">
        <v>34</v>
      </c>
      <c r="G150" s="6" t="s">
        <v>35</v>
      </c>
      <c r="H150">
        <v>8819.8240000000005</v>
      </c>
      <c r="I150">
        <v>176768.75399999999</v>
      </c>
      <c r="J150">
        <v>1657524.7109999999</v>
      </c>
      <c r="K150" s="6" t="s">
        <v>239</v>
      </c>
      <c r="L150" s="6" t="s">
        <v>493</v>
      </c>
      <c r="M150" s="6" t="s">
        <v>71</v>
      </c>
    </row>
    <row r="151" spans="1:13" x14ac:dyDescent="0.25">
      <c r="A151" s="6" t="s">
        <v>595</v>
      </c>
      <c r="B151" s="6" t="s">
        <v>32</v>
      </c>
      <c r="C151" s="6" t="s">
        <v>235</v>
      </c>
      <c r="D151" s="6" t="s">
        <v>438</v>
      </c>
      <c r="E151" s="6" t="s">
        <v>439</v>
      </c>
      <c r="F151" s="6" t="s">
        <v>34</v>
      </c>
      <c r="G151" s="6" t="s">
        <v>35</v>
      </c>
      <c r="H151">
        <v>3232.3209999999999</v>
      </c>
      <c r="I151">
        <v>176772.79800000001</v>
      </c>
      <c r="J151">
        <v>1657797.6939999999</v>
      </c>
      <c r="K151" s="6" t="s">
        <v>239</v>
      </c>
      <c r="L151" s="6" t="s">
        <v>493</v>
      </c>
      <c r="M151" s="6" t="s">
        <v>36</v>
      </c>
    </row>
    <row r="152" spans="1:13" x14ac:dyDescent="0.25">
      <c r="A152" s="6" t="s">
        <v>596</v>
      </c>
      <c r="B152" s="6" t="s">
        <v>32</v>
      </c>
      <c r="C152" s="6" t="s">
        <v>61</v>
      </c>
      <c r="D152" s="6" t="s">
        <v>597</v>
      </c>
      <c r="E152" s="6" t="s">
        <v>598</v>
      </c>
      <c r="F152" s="6" t="s">
        <v>34</v>
      </c>
      <c r="G152" s="6" t="s">
        <v>35</v>
      </c>
      <c r="H152">
        <v>6044.8360000000002</v>
      </c>
      <c r="I152">
        <v>176778.14600000001</v>
      </c>
      <c r="J152">
        <v>1657734.912</v>
      </c>
      <c r="K152" s="6" t="s">
        <v>239</v>
      </c>
      <c r="L152" s="6" t="s">
        <v>493</v>
      </c>
      <c r="M152" s="6" t="s">
        <v>36</v>
      </c>
    </row>
    <row r="153" spans="1:13" x14ac:dyDescent="0.25">
      <c r="A153" s="6" t="s">
        <v>599</v>
      </c>
      <c r="B153" s="6" t="s">
        <v>32</v>
      </c>
      <c r="C153" s="6" t="s">
        <v>46</v>
      </c>
      <c r="D153" s="6" t="s">
        <v>600</v>
      </c>
      <c r="E153" s="6" t="s">
        <v>626</v>
      </c>
      <c r="F153" s="6" t="s">
        <v>34</v>
      </c>
      <c r="G153" s="6" t="s">
        <v>35</v>
      </c>
      <c r="H153">
        <v>16755.266</v>
      </c>
      <c r="I153">
        <v>176780.00399999999</v>
      </c>
      <c r="J153">
        <v>1657635.4140000001</v>
      </c>
      <c r="K153" s="6" t="s">
        <v>239</v>
      </c>
      <c r="L153" s="6" t="s">
        <v>493</v>
      </c>
      <c r="M153" s="6" t="s">
        <v>38</v>
      </c>
    </row>
    <row r="154" spans="1:13" x14ac:dyDescent="0.25">
      <c r="A154" s="6" t="s">
        <v>601</v>
      </c>
      <c r="B154" s="6" t="s">
        <v>32</v>
      </c>
      <c r="C154" s="6" t="s">
        <v>72</v>
      </c>
      <c r="D154" s="6" t="s">
        <v>577</v>
      </c>
      <c r="E154" s="6" t="s">
        <v>578</v>
      </c>
      <c r="F154" s="6" t="s">
        <v>34</v>
      </c>
      <c r="G154" s="6" t="s">
        <v>50</v>
      </c>
      <c r="H154">
        <v>3221.913</v>
      </c>
      <c r="I154">
        <v>176786.818</v>
      </c>
      <c r="J154">
        <v>1657861.2879999999</v>
      </c>
      <c r="K154" s="6" t="s">
        <v>239</v>
      </c>
      <c r="L154" s="6" t="s">
        <v>493</v>
      </c>
      <c r="M154" s="6" t="s">
        <v>74</v>
      </c>
    </row>
    <row r="155" spans="1:13" x14ac:dyDescent="0.25">
      <c r="A155" s="6" t="s">
        <v>602</v>
      </c>
      <c r="B155" s="6" t="s">
        <v>32</v>
      </c>
      <c r="C155" s="6" t="s">
        <v>58</v>
      </c>
      <c r="D155" s="6" t="s">
        <v>603</v>
      </c>
      <c r="E155" s="6" t="s">
        <v>604</v>
      </c>
      <c r="F155" s="6" t="s">
        <v>34</v>
      </c>
      <c r="G155" s="6" t="s">
        <v>35</v>
      </c>
      <c r="H155">
        <v>3294.2379999999998</v>
      </c>
      <c r="I155">
        <v>176788.217</v>
      </c>
      <c r="J155">
        <v>1657835.112</v>
      </c>
      <c r="K155" s="6" t="s">
        <v>239</v>
      </c>
      <c r="L155" s="6" t="s">
        <v>493</v>
      </c>
      <c r="M155" s="6" t="s">
        <v>74</v>
      </c>
    </row>
    <row r="156" spans="1:13" x14ac:dyDescent="0.25">
      <c r="A156" s="6" t="s">
        <v>605</v>
      </c>
      <c r="B156" s="6" t="s">
        <v>32</v>
      </c>
      <c r="C156" s="6" t="s">
        <v>131</v>
      </c>
      <c r="D156" s="6" t="s">
        <v>606</v>
      </c>
      <c r="E156" s="6" t="s">
        <v>626</v>
      </c>
      <c r="F156" s="6" t="s">
        <v>34</v>
      </c>
      <c r="G156" s="6" t="s">
        <v>35</v>
      </c>
      <c r="H156">
        <v>252.19200000000001</v>
      </c>
      <c r="I156">
        <v>176788.77900000001</v>
      </c>
      <c r="J156">
        <v>1657759.936</v>
      </c>
      <c r="K156" s="6" t="s">
        <v>239</v>
      </c>
      <c r="L156" s="6" t="s">
        <v>493</v>
      </c>
      <c r="M156" s="6" t="s">
        <v>36</v>
      </c>
    </row>
    <row r="157" spans="1:13" x14ac:dyDescent="0.25">
      <c r="A157" s="6" t="s">
        <v>607</v>
      </c>
      <c r="B157" s="6" t="s">
        <v>32</v>
      </c>
      <c r="C157" s="6" t="s">
        <v>80</v>
      </c>
      <c r="D157" s="6" t="s">
        <v>608</v>
      </c>
      <c r="E157" s="6" t="s">
        <v>392</v>
      </c>
      <c r="F157" s="6" t="s">
        <v>32</v>
      </c>
      <c r="G157" s="6" t="s">
        <v>32</v>
      </c>
      <c r="H157">
        <v>4889.268</v>
      </c>
      <c r="I157">
        <v>176819.37100000001</v>
      </c>
      <c r="J157">
        <v>1657609.2350000001</v>
      </c>
      <c r="K157" s="6" t="s">
        <v>239</v>
      </c>
      <c r="L157" s="6" t="s">
        <v>493</v>
      </c>
      <c r="M157" s="6" t="s">
        <v>77</v>
      </c>
    </row>
    <row r="158" spans="1:13" x14ac:dyDescent="0.25">
      <c r="A158" s="6" t="s">
        <v>609</v>
      </c>
      <c r="B158" s="6" t="s">
        <v>32</v>
      </c>
      <c r="C158" s="6" t="s">
        <v>45</v>
      </c>
      <c r="D158" s="6" t="s">
        <v>218</v>
      </c>
      <c r="E158" s="6" t="s">
        <v>626</v>
      </c>
      <c r="F158" s="6" t="s">
        <v>34</v>
      </c>
      <c r="G158" s="6" t="s">
        <v>35</v>
      </c>
      <c r="H158">
        <v>1298.9390000000001</v>
      </c>
      <c r="I158">
        <v>176830.62899999999</v>
      </c>
      <c r="J158">
        <v>1657541.7660000001</v>
      </c>
      <c r="K158" s="6" t="s">
        <v>239</v>
      </c>
      <c r="L158" s="6" t="s">
        <v>493</v>
      </c>
      <c r="M158" s="6" t="s">
        <v>176</v>
      </c>
    </row>
    <row r="159" spans="1:13" x14ac:dyDescent="0.25">
      <c r="A159" s="6" t="s">
        <v>610</v>
      </c>
      <c r="B159" s="6" t="s">
        <v>32</v>
      </c>
      <c r="C159" s="6" t="s">
        <v>65</v>
      </c>
      <c r="D159" s="6" t="s">
        <v>462</v>
      </c>
      <c r="E159" s="6" t="s">
        <v>463</v>
      </c>
      <c r="F159" s="6" t="s">
        <v>34</v>
      </c>
      <c r="G159" s="6" t="s">
        <v>35</v>
      </c>
      <c r="H159">
        <v>3495.7150000000001</v>
      </c>
      <c r="I159">
        <v>176831.03700000001</v>
      </c>
      <c r="J159">
        <v>1657763.1969999999</v>
      </c>
      <c r="K159" s="6" t="s">
        <v>239</v>
      </c>
      <c r="L159" s="6" t="s">
        <v>493</v>
      </c>
      <c r="M159" s="6" t="s">
        <v>207</v>
      </c>
    </row>
    <row r="160" spans="1:13" x14ac:dyDescent="0.25">
      <c r="A160" s="6" t="s">
        <v>611</v>
      </c>
      <c r="B160" s="6" t="s">
        <v>32</v>
      </c>
      <c r="C160" s="6" t="s">
        <v>152</v>
      </c>
      <c r="D160" s="6" t="s">
        <v>612</v>
      </c>
      <c r="E160" s="6" t="s">
        <v>613</v>
      </c>
      <c r="F160" s="6" t="s">
        <v>34</v>
      </c>
      <c r="G160" s="6" t="s">
        <v>35</v>
      </c>
      <c r="H160">
        <v>1124.73</v>
      </c>
      <c r="I160">
        <v>176842.74100000001</v>
      </c>
      <c r="J160">
        <v>1657935.6780000001</v>
      </c>
      <c r="K160" s="6" t="s">
        <v>239</v>
      </c>
      <c r="L160" s="6" t="s">
        <v>493</v>
      </c>
      <c r="M160" s="6" t="s">
        <v>40</v>
      </c>
    </row>
    <row r="161" spans="1:13" x14ac:dyDescent="0.25">
      <c r="A161" s="6" t="s">
        <v>614</v>
      </c>
      <c r="B161" s="6" t="s">
        <v>32</v>
      </c>
      <c r="C161" s="6" t="s">
        <v>184</v>
      </c>
      <c r="D161" s="6" t="s">
        <v>615</v>
      </c>
      <c r="E161" s="6" t="s">
        <v>626</v>
      </c>
      <c r="F161" s="6" t="s">
        <v>34</v>
      </c>
      <c r="G161" s="6" t="s">
        <v>35</v>
      </c>
      <c r="H161">
        <v>2329.34</v>
      </c>
      <c r="I161">
        <v>176844.51</v>
      </c>
      <c r="J161">
        <v>1657903.1189999999</v>
      </c>
      <c r="K161" s="6" t="s">
        <v>239</v>
      </c>
      <c r="L161" s="6" t="s">
        <v>493</v>
      </c>
      <c r="M161" s="6" t="s">
        <v>40</v>
      </c>
    </row>
    <row r="162" spans="1:13" x14ac:dyDescent="0.25">
      <c r="A162" s="6" t="s">
        <v>616</v>
      </c>
      <c r="B162" s="6" t="s">
        <v>32</v>
      </c>
      <c r="C162" s="6" t="s">
        <v>123</v>
      </c>
      <c r="D162" s="6" t="s">
        <v>97</v>
      </c>
      <c r="E162" s="6" t="s">
        <v>392</v>
      </c>
      <c r="F162" s="6" t="s">
        <v>32</v>
      </c>
      <c r="G162" s="6" t="s">
        <v>32</v>
      </c>
      <c r="H162">
        <v>95.334000000000003</v>
      </c>
      <c r="I162">
        <v>176845.76500000001</v>
      </c>
      <c r="J162">
        <v>1657956.0970000001</v>
      </c>
      <c r="K162" s="6" t="s">
        <v>239</v>
      </c>
      <c r="L162" s="6" t="s">
        <v>493</v>
      </c>
      <c r="M162" s="6" t="s">
        <v>40</v>
      </c>
    </row>
    <row r="163" spans="1:13" x14ac:dyDescent="0.25">
      <c r="A163" s="6" t="s">
        <v>617</v>
      </c>
      <c r="B163" s="6" t="s">
        <v>32</v>
      </c>
      <c r="C163" s="6" t="s">
        <v>102</v>
      </c>
      <c r="D163" s="6" t="s">
        <v>618</v>
      </c>
      <c r="E163" s="6" t="s">
        <v>626</v>
      </c>
      <c r="F163" s="6" t="s">
        <v>34</v>
      </c>
      <c r="G163" s="6" t="s">
        <v>35</v>
      </c>
      <c r="H163">
        <v>869.80799999999999</v>
      </c>
      <c r="I163">
        <v>176857.14300000001</v>
      </c>
      <c r="J163">
        <v>1657732.882</v>
      </c>
      <c r="K163" s="6" t="s">
        <v>239</v>
      </c>
      <c r="L163" s="6" t="s">
        <v>493</v>
      </c>
      <c r="M163" s="6" t="s">
        <v>207</v>
      </c>
    </row>
    <row r="164" spans="1:13" x14ac:dyDescent="0.25">
      <c r="A164" s="6" t="s">
        <v>619</v>
      </c>
      <c r="B164" s="6" t="s">
        <v>32</v>
      </c>
      <c r="C164" s="6" t="s">
        <v>64</v>
      </c>
      <c r="D164" s="6" t="s">
        <v>394</v>
      </c>
      <c r="E164" s="6" t="s">
        <v>392</v>
      </c>
      <c r="F164" s="6" t="s">
        <v>32</v>
      </c>
      <c r="G164" s="6" t="s">
        <v>32</v>
      </c>
      <c r="H164">
        <v>164.36</v>
      </c>
      <c r="I164">
        <v>176858.73199999999</v>
      </c>
      <c r="J164">
        <v>1657947.4609999999</v>
      </c>
      <c r="K164" s="6" t="s">
        <v>239</v>
      </c>
      <c r="L164" s="6" t="s">
        <v>493</v>
      </c>
      <c r="M164" s="6" t="s">
        <v>40</v>
      </c>
    </row>
    <row r="165" spans="1:13" x14ac:dyDescent="0.25">
      <c r="A165" s="6" t="s">
        <v>620</v>
      </c>
      <c r="B165" s="6" t="s">
        <v>32</v>
      </c>
      <c r="C165" s="6" t="s">
        <v>114</v>
      </c>
      <c r="D165" s="6" t="s">
        <v>608</v>
      </c>
      <c r="E165" s="6" t="s">
        <v>392</v>
      </c>
      <c r="F165" s="6" t="s">
        <v>32</v>
      </c>
      <c r="G165" s="6" t="s">
        <v>32</v>
      </c>
      <c r="H165">
        <v>5821.1319999999996</v>
      </c>
      <c r="I165">
        <v>176858.81299999999</v>
      </c>
      <c r="J165">
        <v>1657831.182</v>
      </c>
      <c r="K165" s="6" t="s">
        <v>239</v>
      </c>
      <c r="L165" s="6" t="s">
        <v>493</v>
      </c>
      <c r="M165" s="6" t="s">
        <v>85</v>
      </c>
    </row>
    <row r="166" spans="1:13" x14ac:dyDescent="0.25">
      <c r="A166" s="6" t="s">
        <v>621</v>
      </c>
      <c r="B166" s="6" t="s">
        <v>32</v>
      </c>
      <c r="C166" s="6" t="s">
        <v>49</v>
      </c>
      <c r="D166" s="6" t="s">
        <v>612</v>
      </c>
      <c r="E166" s="6" t="s">
        <v>613</v>
      </c>
      <c r="F166" s="6" t="s">
        <v>34</v>
      </c>
      <c r="G166" s="6" t="s">
        <v>35</v>
      </c>
      <c r="H166">
        <v>330.166</v>
      </c>
      <c r="I166">
        <v>176864.37</v>
      </c>
      <c r="J166">
        <v>1657954.1540000001</v>
      </c>
      <c r="K166" s="6" t="s">
        <v>239</v>
      </c>
      <c r="L166" s="6" t="s">
        <v>493</v>
      </c>
      <c r="M166" s="6" t="s">
        <v>40</v>
      </c>
    </row>
    <row r="167" spans="1:13" x14ac:dyDescent="0.25">
      <c r="A167" s="6" t="s">
        <v>622</v>
      </c>
      <c r="B167" s="6" t="s">
        <v>32</v>
      </c>
      <c r="C167" s="6" t="s">
        <v>91</v>
      </c>
      <c r="D167" s="6" t="s">
        <v>97</v>
      </c>
      <c r="E167" s="6" t="s">
        <v>392</v>
      </c>
      <c r="F167" s="6" t="s">
        <v>32</v>
      </c>
      <c r="G167" s="6" t="s">
        <v>32</v>
      </c>
      <c r="H167">
        <v>191.20599999999999</v>
      </c>
      <c r="I167">
        <v>176864.39600000001</v>
      </c>
      <c r="J167">
        <v>1657963.3929999999</v>
      </c>
      <c r="K167" s="6" t="s">
        <v>239</v>
      </c>
      <c r="L167" s="6" t="s">
        <v>493</v>
      </c>
      <c r="M167" s="6" t="s">
        <v>40</v>
      </c>
    </row>
    <row r="168" spans="1:13" x14ac:dyDescent="0.25">
      <c r="A168" s="6" t="s">
        <v>623</v>
      </c>
      <c r="B168" s="6" t="s">
        <v>32</v>
      </c>
      <c r="C168" s="6" t="s">
        <v>132</v>
      </c>
      <c r="D168" s="6" t="s">
        <v>97</v>
      </c>
      <c r="E168" s="6" t="s">
        <v>392</v>
      </c>
      <c r="F168" s="6" t="s">
        <v>32</v>
      </c>
      <c r="G168" s="6" t="s">
        <v>32</v>
      </c>
      <c r="H168">
        <v>94.96</v>
      </c>
      <c r="I168">
        <v>176880.981</v>
      </c>
      <c r="J168">
        <v>1657696.0090000001</v>
      </c>
      <c r="K168" s="6" t="s">
        <v>239</v>
      </c>
      <c r="L168" s="6" t="s">
        <v>493</v>
      </c>
      <c r="M168" s="6" t="s">
        <v>77</v>
      </c>
    </row>
    <row r="169" spans="1:13" x14ac:dyDescent="0.25">
      <c r="A169" s="6" t="s">
        <v>624</v>
      </c>
      <c r="B169" s="6" t="s">
        <v>32</v>
      </c>
      <c r="C169" s="6" t="s">
        <v>231</v>
      </c>
      <c r="D169" s="6" t="s">
        <v>97</v>
      </c>
      <c r="E169" s="6" t="s">
        <v>392</v>
      </c>
      <c r="F169" s="6" t="s">
        <v>32</v>
      </c>
      <c r="G169" s="6" t="s">
        <v>32</v>
      </c>
      <c r="H169">
        <v>106.68600000000001</v>
      </c>
      <c r="I169">
        <v>176890.25099999999</v>
      </c>
      <c r="J169">
        <v>1657969.2960000001</v>
      </c>
      <c r="K169" s="6" t="s">
        <v>239</v>
      </c>
      <c r="L169" s="6" t="s">
        <v>493</v>
      </c>
      <c r="M169" s="6" t="s">
        <v>40</v>
      </c>
    </row>
    <row r="170" spans="1:13" x14ac:dyDescent="0.25">
      <c r="A170" s="6"/>
      <c r="B170" s="6"/>
      <c r="C170" s="6"/>
      <c r="D170" s="6"/>
      <c r="E170" s="6"/>
      <c r="F170" s="6"/>
      <c r="G170" s="6"/>
      <c r="K170" s="6"/>
      <c r="L170" s="6"/>
      <c r="M170" s="6"/>
    </row>
    <row r="171" spans="1:13" x14ac:dyDescent="0.25">
      <c r="A171" s="6"/>
      <c r="B171" s="6"/>
      <c r="C171" s="6"/>
      <c r="D171" s="6"/>
      <c r="E171" s="6"/>
      <c r="F171" s="6"/>
      <c r="G171" s="6"/>
      <c r="K171" s="6"/>
      <c r="L171" s="6"/>
      <c r="M171" s="6"/>
    </row>
    <row r="172" spans="1:13" x14ac:dyDescent="0.25">
      <c r="A172" s="6"/>
      <c r="B172" s="6"/>
      <c r="C172" s="6"/>
      <c r="D172" s="6"/>
      <c r="E172" s="6"/>
      <c r="F172" s="6"/>
      <c r="G172" s="6"/>
      <c r="K172" s="6"/>
      <c r="L172" s="6"/>
      <c r="M172" s="6"/>
    </row>
    <row r="173" spans="1:13" x14ac:dyDescent="0.25">
      <c r="A173" s="6"/>
      <c r="B173" s="6"/>
      <c r="C173" s="6"/>
      <c r="D173" s="6"/>
      <c r="E173" s="6"/>
      <c r="F173" s="6"/>
      <c r="G173" s="6"/>
      <c r="K173" s="6"/>
      <c r="L173" s="6"/>
      <c r="M173" s="6"/>
    </row>
    <row r="174" spans="1:13" x14ac:dyDescent="0.25">
      <c r="A174" s="6"/>
      <c r="B174" s="6"/>
      <c r="C174" s="6"/>
      <c r="D174" s="6"/>
      <c r="E174" s="6"/>
      <c r="F174" s="6"/>
      <c r="G174" s="6"/>
      <c r="K174" s="6"/>
      <c r="L174" s="6"/>
      <c r="M174" s="6"/>
    </row>
    <row r="175" spans="1:13" x14ac:dyDescent="0.25">
      <c r="A175" s="6"/>
      <c r="B175" s="6"/>
      <c r="C175" s="6"/>
      <c r="D175" s="6"/>
      <c r="E175" s="6"/>
      <c r="F175" s="6"/>
      <c r="G175" s="6"/>
      <c r="K175" s="6"/>
      <c r="L175" s="6"/>
      <c r="M175" s="6"/>
    </row>
    <row r="176" spans="1:13" x14ac:dyDescent="0.25">
      <c r="A176" s="6"/>
      <c r="B176" s="6"/>
      <c r="C176" s="6"/>
      <c r="D176" s="6"/>
      <c r="E176" s="6"/>
      <c r="F176" s="6"/>
      <c r="G176" s="6"/>
      <c r="K176" s="6"/>
      <c r="L176" s="6"/>
      <c r="M176" s="6"/>
    </row>
    <row r="177" spans="1:13" x14ac:dyDescent="0.25">
      <c r="A177" s="6"/>
      <c r="B177" s="6"/>
      <c r="C177" s="6"/>
      <c r="D177" s="6"/>
      <c r="E177" s="6"/>
      <c r="F177" s="6"/>
      <c r="G177" s="6"/>
      <c r="K177" s="6"/>
      <c r="L177" s="6"/>
      <c r="M177" s="6"/>
    </row>
    <row r="178" spans="1:13" x14ac:dyDescent="0.25">
      <c r="A178" s="6"/>
      <c r="B178" s="6"/>
      <c r="C178" s="6"/>
      <c r="D178" s="6"/>
      <c r="E178" s="6"/>
      <c r="F178" s="6"/>
      <c r="G178" s="6"/>
      <c r="K178" s="6"/>
      <c r="L178" s="6"/>
      <c r="M178" s="6"/>
    </row>
    <row r="179" spans="1:13" x14ac:dyDescent="0.25">
      <c r="A179" s="6"/>
      <c r="B179" s="6"/>
      <c r="C179" s="6"/>
      <c r="D179" s="6"/>
      <c r="E179" s="6"/>
      <c r="F179" s="6"/>
      <c r="G179" s="6"/>
      <c r="K179" s="6"/>
      <c r="L179" s="6"/>
      <c r="M179" s="6"/>
    </row>
    <row r="180" spans="1:13" x14ac:dyDescent="0.25">
      <c r="A180" s="6"/>
      <c r="B180" s="6"/>
      <c r="C180" s="6"/>
      <c r="D180" s="6"/>
      <c r="E180" s="6"/>
      <c r="F180" s="6"/>
      <c r="G180" s="6"/>
      <c r="K180" s="6"/>
      <c r="L180" s="6"/>
      <c r="M180" s="6"/>
    </row>
    <row r="181" spans="1:13" x14ac:dyDescent="0.25">
      <c r="A181" s="6"/>
      <c r="B181" s="6"/>
      <c r="C181" s="6"/>
      <c r="D181" s="6"/>
      <c r="E181" s="6"/>
      <c r="F181" s="6"/>
      <c r="G181" s="6"/>
      <c r="K181" s="6"/>
      <c r="L181" s="6"/>
      <c r="M18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8E4C-F611-4F21-AC06-5894C296D0C3}">
  <dimension ref="A1:M169"/>
  <sheetViews>
    <sheetView workbookViewId="0">
      <selection activeCell="A2" sqref="A2:M169"/>
    </sheetView>
  </sheetViews>
  <sheetFormatPr defaultRowHeight="15" x14ac:dyDescent="0.25"/>
  <cols>
    <col min="1" max="2" width="9.140625" style="9"/>
    <col min="3" max="3" width="6" style="9" bestFit="1" customWidth="1"/>
    <col min="4" max="4" width="9.140625" style="9"/>
    <col min="5" max="5" width="18.7109375" style="9" bestFit="1" customWidth="1"/>
    <col min="6" max="16384" width="9.140625" style="9"/>
  </cols>
  <sheetData>
    <row r="1" spans="1:13" s="7" customFormat="1" x14ac:dyDescent="0.25">
      <c r="A1" s="7" t="s">
        <v>20</v>
      </c>
      <c r="B1" s="7" t="s">
        <v>21</v>
      </c>
      <c r="C1" s="7" t="s">
        <v>4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</row>
    <row r="2" spans="1:13" x14ac:dyDescent="0.25">
      <c r="A2" s="8" t="s">
        <v>236</v>
      </c>
      <c r="B2" s="8" t="s">
        <v>32</v>
      </c>
      <c r="C2" s="8" t="s">
        <v>230</v>
      </c>
      <c r="D2" s="8" t="s">
        <v>237</v>
      </c>
      <c r="E2" s="8" t="s">
        <v>238</v>
      </c>
      <c r="F2" s="8" t="s">
        <v>34</v>
      </c>
      <c r="G2" s="8" t="s">
        <v>35</v>
      </c>
      <c r="H2" s="9">
        <v>14735.630999999999</v>
      </c>
      <c r="I2" s="9">
        <v>175632.01199999999</v>
      </c>
      <c r="J2" s="9">
        <v>1657782.452</v>
      </c>
      <c r="K2" s="8" t="s">
        <v>239</v>
      </c>
      <c r="L2" s="8" t="s">
        <v>240</v>
      </c>
      <c r="M2" s="8" t="s">
        <v>111</v>
      </c>
    </row>
    <row r="3" spans="1:13" x14ac:dyDescent="0.25">
      <c r="A3" s="8" t="s">
        <v>241</v>
      </c>
      <c r="B3" s="8" t="s">
        <v>32</v>
      </c>
      <c r="C3" s="8" t="s">
        <v>228</v>
      </c>
      <c r="D3" s="8" t="s">
        <v>242</v>
      </c>
      <c r="E3" s="8" t="s">
        <v>238</v>
      </c>
      <c r="F3" s="8" t="s">
        <v>34</v>
      </c>
      <c r="G3" s="8" t="s">
        <v>35</v>
      </c>
      <c r="H3" s="9">
        <v>2808.636</v>
      </c>
      <c r="I3" s="9">
        <v>175643.663</v>
      </c>
      <c r="J3" s="9">
        <v>1657636.172</v>
      </c>
      <c r="K3" s="8" t="s">
        <v>239</v>
      </c>
      <c r="L3" s="8" t="s">
        <v>240</v>
      </c>
      <c r="M3" s="8" t="s">
        <v>109</v>
      </c>
    </row>
    <row r="4" spans="1:13" x14ac:dyDescent="0.25">
      <c r="A4" s="8" t="s">
        <v>243</v>
      </c>
      <c r="B4" s="8" t="s">
        <v>32</v>
      </c>
      <c r="C4" s="8" t="s">
        <v>226</v>
      </c>
      <c r="D4" s="8" t="s">
        <v>244</v>
      </c>
      <c r="E4" s="8" t="s">
        <v>245</v>
      </c>
      <c r="F4" s="8" t="s">
        <v>34</v>
      </c>
      <c r="G4" s="8" t="s">
        <v>35</v>
      </c>
      <c r="H4" s="9">
        <v>16774.374</v>
      </c>
      <c r="I4" s="9">
        <v>175706.818</v>
      </c>
      <c r="J4" s="9">
        <v>1657769.487</v>
      </c>
      <c r="K4" s="8" t="s">
        <v>239</v>
      </c>
      <c r="L4" s="8" t="s">
        <v>240</v>
      </c>
      <c r="M4" s="8" t="s">
        <v>36</v>
      </c>
    </row>
    <row r="5" spans="1:13" x14ac:dyDescent="0.25">
      <c r="A5" s="8" t="s">
        <v>246</v>
      </c>
      <c r="B5" s="8" t="s">
        <v>32</v>
      </c>
      <c r="C5" s="8" t="s">
        <v>222</v>
      </c>
      <c r="D5" s="8" t="s">
        <v>247</v>
      </c>
      <c r="E5" s="8" t="s">
        <v>248</v>
      </c>
      <c r="F5" s="8" t="s">
        <v>34</v>
      </c>
      <c r="G5" s="8" t="s">
        <v>35</v>
      </c>
      <c r="H5" s="9">
        <v>5963.7560000000003</v>
      </c>
      <c r="I5" s="9">
        <v>175711.47500000001</v>
      </c>
      <c r="J5" s="9">
        <v>1657959.1329999999</v>
      </c>
      <c r="K5" s="8" t="s">
        <v>239</v>
      </c>
      <c r="L5" s="8" t="s">
        <v>240</v>
      </c>
      <c r="M5" s="8" t="s">
        <v>136</v>
      </c>
    </row>
    <row r="6" spans="1:13" x14ac:dyDescent="0.25">
      <c r="A6" s="8" t="s">
        <v>249</v>
      </c>
      <c r="B6" s="8" t="s">
        <v>32</v>
      </c>
      <c r="C6" s="8" t="s">
        <v>220</v>
      </c>
      <c r="D6" s="8" t="s">
        <v>250</v>
      </c>
      <c r="E6" s="8" t="s">
        <v>251</v>
      </c>
      <c r="F6" s="8" t="s">
        <v>34</v>
      </c>
      <c r="G6" s="8" t="s">
        <v>35</v>
      </c>
      <c r="H6" s="9">
        <v>6305.2389999999996</v>
      </c>
      <c r="I6" s="9">
        <v>175749.97899999999</v>
      </c>
      <c r="J6" s="9">
        <v>1657952.013</v>
      </c>
      <c r="K6" s="8" t="s">
        <v>239</v>
      </c>
      <c r="L6" s="8" t="s">
        <v>240</v>
      </c>
      <c r="M6" s="8" t="s">
        <v>136</v>
      </c>
    </row>
    <row r="7" spans="1:13" x14ac:dyDescent="0.25">
      <c r="A7" s="8" t="s">
        <v>252</v>
      </c>
      <c r="B7" s="8" t="s">
        <v>32</v>
      </c>
      <c r="C7" s="8" t="s">
        <v>216</v>
      </c>
      <c r="D7" s="8" t="s">
        <v>253</v>
      </c>
      <c r="E7" s="8" t="s">
        <v>238</v>
      </c>
      <c r="F7" s="8" t="s">
        <v>34</v>
      </c>
      <c r="G7" s="8" t="s">
        <v>35</v>
      </c>
      <c r="H7" s="9">
        <v>17411.955000000002</v>
      </c>
      <c r="I7" s="9">
        <v>175756.07800000001</v>
      </c>
      <c r="J7" s="9">
        <v>1657711.449</v>
      </c>
      <c r="K7" s="8" t="s">
        <v>239</v>
      </c>
      <c r="L7" s="8" t="s">
        <v>240</v>
      </c>
      <c r="M7" s="8" t="s">
        <v>36</v>
      </c>
    </row>
    <row r="8" spans="1:13" x14ac:dyDescent="0.25">
      <c r="A8" s="8" t="s">
        <v>254</v>
      </c>
      <c r="B8" s="8" t="s">
        <v>32</v>
      </c>
      <c r="C8" s="8" t="s">
        <v>213</v>
      </c>
      <c r="D8" s="8" t="s">
        <v>255</v>
      </c>
      <c r="E8" s="8" t="s">
        <v>256</v>
      </c>
      <c r="F8" s="8" t="s">
        <v>34</v>
      </c>
      <c r="G8" s="8" t="s">
        <v>35</v>
      </c>
      <c r="H8" s="9">
        <v>5789.7449999999999</v>
      </c>
      <c r="I8" s="9">
        <v>175787.07</v>
      </c>
      <c r="J8" s="9">
        <v>1657945.868</v>
      </c>
      <c r="K8" s="8" t="s">
        <v>239</v>
      </c>
      <c r="L8" s="8" t="s">
        <v>240</v>
      </c>
      <c r="M8" s="8" t="s">
        <v>136</v>
      </c>
    </row>
    <row r="9" spans="1:13" x14ac:dyDescent="0.25">
      <c r="A9" s="8" t="s">
        <v>257</v>
      </c>
      <c r="B9" s="8" t="s">
        <v>32</v>
      </c>
      <c r="C9" s="8" t="s">
        <v>209</v>
      </c>
      <c r="D9" s="8" t="s">
        <v>247</v>
      </c>
      <c r="E9" s="8" t="s">
        <v>248</v>
      </c>
      <c r="F9" s="8" t="s">
        <v>34</v>
      </c>
      <c r="G9" s="8" t="s">
        <v>35</v>
      </c>
      <c r="H9" s="9">
        <v>5625.848</v>
      </c>
      <c r="I9" s="9">
        <v>175809.628</v>
      </c>
      <c r="J9" s="9">
        <v>1657922.1780000001</v>
      </c>
      <c r="K9" s="8" t="s">
        <v>239</v>
      </c>
      <c r="L9" s="8" t="s">
        <v>240</v>
      </c>
      <c r="M9" s="8" t="s">
        <v>40</v>
      </c>
    </row>
    <row r="10" spans="1:13" x14ac:dyDescent="0.25">
      <c r="A10" s="8" t="s">
        <v>258</v>
      </c>
      <c r="B10" s="8" t="s">
        <v>32</v>
      </c>
      <c r="C10" s="8" t="s">
        <v>205</v>
      </c>
      <c r="D10" s="8" t="s">
        <v>259</v>
      </c>
      <c r="E10" s="8" t="s">
        <v>53</v>
      </c>
      <c r="F10" s="8" t="s">
        <v>34</v>
      </c>
      <c r="G10" s="8" t="s">
        <v>35</v>
      </c>
      <c r="H10" s="9">
        <v>9900.4089999999997</v>
      </c>
      <c r="I10" s="9">
        <v>175816.58</v>
      </c>
      <c r="J10" s="9">
        <v>1657706.0190000001</v>
      </c>
      <c r="K10" s="8" t="s">
        <v>239</v>
      </c>
      <c r="L10" s="8" t="s">
        <v>240</v>
      </c>
      <c r="M10" s="8" t="s">
        <v>207</v>
      </c>
    </row>
    <row r="11" spans="1:13" x14ac:dyDescent="0.25">
      <c r="A11" s="8" t="s">
        <v>260</v>
      </c>
      <c r="B11" s="8" t="s">
        <v>32</v>
      </c>
      <c r="C11" s="8" t="s">
        <v>201</v>
      </c>
      <c r="D11" s="8" t="s">
        <v>261</v>
      </c>
      <c r="E11" s="8" t="s">
        <v>262</v>
      </c>
      <c r="F11" s="8" t="s">
        <v>34</v>
      </c>
      <c r="G11" s="8" t="s">
        <v>35</v>
      </c>
      <c r="H11" s="9">
        <v>7695.7629999999999</v>
      </c>
      <c r="I11" s="9">
        <v>175842.05</v>
      </c>
      <c r="J11" s="9">
        <v>1657918.63</v>
      </c>
      <c r="K11" s="8" t="s">
        <v>239</v>
      </c>
      <c r="L11" s="8" t="s">
        <v>240</v>
      </c>
      <c r="M11" s="8" t="s">
        <v>40</v>
      </c>
    </row>
    <row r="12" spans="1:13" x14ac:dyDescent="0.25">
      <c r="A12" s="8" t="s">
        <v>263</v>
      </c>
      <c r="B12" s="8" t="s">
        <v>32</v>
      </c>
      <c r="C12" s="8" t="s">
        <v>198</v>
      </c>
      <c r="D12" s="8" t="s">
        <v>253</v>
      </c>
      <c r="E12" s="8" t="s">
        <v>264</v>
      </c>
      <c r="F12" s="8" t="s">
        <v>34</v>
      </c>
      <c r="G12" s="8" t="s">
        <v>50</v>
      </c>
      <c r="H12" s="9">
        <v>17234.72</v>
      </c>
      <c r="I12" s="9">
        <v>175850.139</v>
      </c>
      <c r="J12" s="9">
        <v>1657627.125</v>
      </c>
      <c r="K12" s="8" t="s">
        <v>239</v>
      </c>
      <c r="L12" s="8" t="s">
        <v>240</v>
      </c>
      <c r="M12" s="8" t="s">
        <v>77</v>
      </c>
    </row>
    <row r="13" spans="1:13" x14ac:dyDescent="0.25">
      <c r="A13" s="8" t="s">
        <v>265</v>
      </c>
      <c r="B13" s="8" t="s">
        <v>32</v>
      </c>
      <c r="C13" s="8" t="s">
        <v>190</v>
      </c>
      <c r="D13" s="8" t="s">
        <v>266</v>
      </c>
      <c r="E13" s="8" t="s">
        <v>267</v>
      </c>
      <c r="F13" s="8" t="s">
        <v>34</v>
      </c>
      <c r="G13" s="8" t="s">
        <v>50</v>
      </c>
      <c r="H13" s="9">
        <v>8642.3680000000004</v>
      </c>
      <c r="I13" s="9">
        <v>175859.815</v>
      </c>
      <c r="J13" s="9">
        <v>1657704.102</v>
      </c>
      <c r="K13" s="8" t="s">
        <v>239</v>
      </c>
      <c r="L13" s="8" t="s">
        <v>240</v>
      </c>
      <c r="M13" s="8" t="s">
        <v>207</v>
      </c>
    </row>
    <row r="14" spans="1:13" x14ac:dyDescent="0.25">
      <c r="A14" s="8" t="s">
        <v>268</v>
      </c>
      <c r="B14" s="8" t="s">
        <v>32</v>
      </c>
      <c r="C14" s="8" t="s">
        <v>180</v>
      </c>
      <c r="D14" s="8" t="s">
        <v>269</v>
      </c>
      <c r="E14" s="8" t="s">
        <v>270</v>
      </c>
      <c r="F14" s="8" t="s">
        <v>34</v>
      </c>
      <c r="G14" s="8" t="s">
        <v>35</v>
      </c>
      <c r="H14" s="9">
        <v>4104.8670000000002</v>
      </c>
      <c r="I14" s="9">
        <v>175870.701</v>
      </c>
      <c r="J14" s="9">
        <v>1657915.6040000001</v>
      </c>
      <c r="K14" s="8" t="s">
        <v>239</v>
      </c>
      <c r="L14" s="8" t="s">
        <v>240</v>
      </c>
      <c r="M14" s="8" t="s">
        <v>40</v>
      </c>
    </row>
    <row r="15" spans="1:13" x14ac:dyDescent="0.25">
      <c r="A15" s="8" t="s">
        <v>271</v>
      </c>
      <c r="B15" s="8" t="s">
        <v>32</v>
      </c>
      <c r="C15" s="8" t="s">
        <v>203</v>
      </c>
      <c r="D15" s="8" t="s">
        <v>272</v>
      </c>
      <c r="E15" s="8" t="s">
        <v>273</v>
      </c>
      <c r="F15" s="8" t="s">
        <v>34</v>
      </c>
      <c r="G15" s="8" t="s">
        <v>35</v>
      </c>
      <c r="H15" s="9">
        <v>4105.7569999999996</v>
      </c>
      <c r="I15" s="9">
        <v>175890.554</v>
      </c>
      <c r="J15" s="9">
        <v>1657913.3049999999</v>
      </c>
      <c r="K15" s="8" t="s">
        <v>239</v>
      </c>
      <c r="L15" s="8" t="s">
        <v>240</v>
      </c>
      <c r="M15" s="8" t="s">
        <v>40</v>
      </c>
    </row>
    <row r="16" spans="1:13" x14ac:dyDescent="0.25">
      <c r="A16" s="8" t="s">
        <v>274</v>
      </c>
      <c r="B16" s="8" t="s">
        <v>32</v>
      </c>
      <c r="C16" s="8" t="s">
        <v>177</v>
      </c>
      <c r="D16" s="8" t="s">
        <v>275</v>
      </c>
      <c r="E16" s="8" t="s">
        <v>276</v>
      </c>
      <c r="F16" s="8" t="s">
        <v>34</v>
      </c>
      <c r="G16" s="8" t="s">
        <v>35</v>
      </c>
      <c r="H16" s="9">
        <v>10211.466</v>
      </c>
      <c r="I16" s="9">
        <v>175925.68900000001</v>
      </c>
      <c r="J16" s="9">
        <v>1657909.7209999999</v>
      </c>
      <c r="K16" s="8" t="s">
        <v>239</v>
      </c>
      <c r="L16" s="8" t="s">
        <v>240</v>
      </c>
      <c r="M16" s="8" t="s">
        <v>88</v>
      </c>
    </row>
    <row r="17" spans="1:13" x14ac:dyDescent="0.25">
      <c r="A17" s="8" t="s">
        <v>277</v>
      </c>
      <c r="B17" s="8" t="s">
        <v>32</v>
      </c>
      <c r="C17" s="8" t="s">
        <v>173</v>
      </c>
      <c r="D17" s="8" t="s">
        <v>278</v>
      </c>
      <c r="E17" s="8" t="s">
        <v>279</v>
      </c>
      <c r="F17" s="8" t="s">
        <v>34</v>
      </c>
      <c r="G17" s="8" t="s">
        <v>50</v>
      </c>
      <c r="H17" s="9">
        <v>7760.6840000000002</v>
      </c>
      <c r="I17" s="9">
        <v>175943.34700000001</v>
      </c>
      <c r="J17" s="9">
        <v>1657537.378</v>
      </c>
      <c r="K17" s="8" t="s">
        <v>239</v>
      </c>
      <c r="L17" s="8" t="s">
        <v>240</v>
      </c>
      <c r="M17" s="8" t="s">
        <v>42</v>
      </c>
    </row>
    <row r="18" spans="1:13" x14ac:dyDescent="0.25">
      <c r="A18" s="8" t="s">
        <v>280</v>
      </c>
      <c r="B18" s="8" t="s">
        <v>32</v>
      </c>
      <c r="C18" s="8" t="s">
        <v>200</v>
      </c>
      <c r="D18" s="8" t="s">
        <v>281</v>
      </c>
      <c r="E18" s="8" t="s">
        <v>282</v>
      </c>
      <c r="F18" s="8" t="s">
        <v>34</v>
      </c>
      <c r="G18" s="8" t="s">
        <v>50</v>
      </c>
      <c r="H18" s="9">
        <v>13784.778</v>
      </c>
      <c r="I18" s="9">
        <v>175949.24600000001</v>
      </c>
      <c r="J18" s="9">
        <v>1657692.41</v>
      </c>
      <c r="K18" s="8" t="s">
        <v>239</v>
      </c>
      <c r="L18" s="8" t="s">
        <v>240</v>
      </c>
      <c r="M18" s="8" t="s">
        <v>44</v>
      </c>
    </row>
    <row r="19" spans="1:13" x14ac:dyDescent="0.25">
      <c r="A19" s="8" t="s">
        <v>283</v>
      </c>
      <c r="B19" s="8" t="s">
        <v>32</v>
      </c>
      <c r="C19" s="8" t="s">
        <v>187</v>
      </c>
      <c r="D19" s="8" t="s">
        <v>284</v>
      </c>
      <c r="E19" s="8" t="s">
        <v>285</v>
      </c>
      <c r="F19" s="8" t="s">
        <v>34</v>
      </c>
      <c r="G19" s="8" t="s">
        <v>35</v>
      </c>
      <c r="H19" s="9">
        <v>8531.5779999999995</v>
      </c>
      <c r="I19" s="9">
        <v>175998.96100000001</v>
      </c>
      <c r="J19" s="9">
        <v>1657685.213</v>
      </c>
      <c r="K19" s="8" t="s">
        <v>239</v>
      </c>
      <c r="L19" s="8" t="s">
        <v>240</v>
      </c>
      <c r="M19" s="8" t="s">
        <v>44</v>
      </c>
    </row>
    <row r="20" spans="1:13" x14ac:dyDescent="0.25">
      <c r="A20" s="8" t="s">
        <v>286</v>
      </c>
      <c r="B20" s="8" t="s">
        <v>32</v>
      </c>
      <c r="C20" s="8" t="s">
        <v>153</v>
      </c>
      <c r="D20" s="8" t="s">
        <v>287</v>
      </c>
      <c r="E20" s="8" t="s">
        <v>238</v>
      </c>
      <c r="F20" s="8" t="s">
        <v>34</v>
      </c>
      <c r="G20" s="8" t="s">
        <v>35</v>
      </c>
      <c r="H20" s="9">
        <v>3520.7739999999999</v>
      </c>
      <c r="I20" s="9">
        <v>176030.33499999999</v>
      </c>
      <c r="J20" s="9">
        <v>1657479.3629999999</v>
      </c>
      <c r="K20" s="8" t="s">
        <v>239</v>
      </c>
      <c r="L20" s="8" t="s">
        <v>288</v>
      </c>
      <c r="M20" s="8" t="s">
        <v>56</v>
      </c>
    </row>
    <row r="21" spans="1:13" x14ac:dyDescent="0.25">
      <c r="A21" s="8" t="s">
        <v>289</v>
      </c>
      <c r="B21" s="8" t="s">
        <v>32</v>
      </c>
      <c r="C21" s="8" t="s">
        <v>142</v>
      </c>
      <c r="D21" s="8" t="s">
        <v>272</v>
      </c>
      <c r="E21" s="8" t="s">
        <v>273</v>
      </c>
      <c r="F21" s="8" t="s">
        <v>34</v>
      </c>
      <c r="G21" s="8" t="s">
        <v>35</v>
      </c>
      <c r="H21" s="9">
        <v>9183.1679999999997</v>
      </c>
      <c r="I21" s="9">
        <v>176034.17300000001</v>
      </c>
      <c r="J21" s="9">
        <v>1657813.649</v>
      </c>
      <c r="K21" s="8" t="s">
        <v>239</v>
      </c>
      <c r="L21" s="8" t="s">
        <v>290</v>
      </c>
      <c r="M21" s="8" t="s">
        <v>48</v>
      </c>
    </row>
    <row r="22" spans="1:13" x14ac:dyDescent="0.25">
      <c r="A22" s="8" t="s">
        <v>291</v>
      </c>
      <c r="B22" s="8" t="s">
        <v>32</v>
      </c>
      <c r="C22" s="8" t="s">
        <v>150</v>
      </c>
      <c r="D22" s="8" t="s">
        <v>292</v>
      </c>
      <c r="E22" s="8" t="s">
        <v>293</v>
      </c>
      <c r="F22" s="8" t="s">
        <v>34</v>
      </c>
      <c r="G22" s="8" t="s">
        <v>35</v>
      </c>
      <c r="H22" s="9">
        <v>5018.8509999999997</v>
      </c>
      <c r="I22" s="9">
        <v>176039.59099999999</v>
      </c>
      <c r="J22" s="9">
        <v>1657856.814</v>
      </c>
      <c r="K22" s="8" t="s">
        <v>239</v>
      </c>
      <c r="L22" s="8" t="s">
        <v>290</v>
      </c>
      <c r="M22" s="8" t="s">
        <v>48</v>
      </c>
    </row>
    <row r="23" spans="1:13" x14ac:dyDescent="0.25">
      <c r="A23" s="8" t="s">
        <v>294</v>
      </c>
      <c r="B23" s="8" t="s">
        <v>32</v>
      </c>
      <c r="C23" s="8" t="s">
        <v>75</v>
      </c>
      <c r="D23" s="8" t="s">
        <v>295</v>
      </c>
      <c r="E23" s="8" t="s">
        <v>296</v>
      </c>
      <c r="F23" s="8" t="s">
        <v>34</v>
      </c>
      <c r="G23" s="8" t="s">
        <v>35</v>
      </c>
      <c r="H23" s="9">
        <v>3645.3069999999998</v>
      </c>
      <c r="I23" s="9">
        <v>176045.302</v>
      </c>
      <c r="J23" s="9">
        <v>1657837.9890000001</v>
      </c>
      <c r="K23" s="8" t="s">
        <v>239</v>
      </c>
      <c r="L23" s="8" t="s">
        <v>290</v>
      </c>
      <c r="M23" s="8" t="s">
        <v>48</v>
      </c>
    </row>
    <row r="24" spans="1:13" x14ac:dyDescent="0.25">
      <c r="A24" s="8" t="s">
        <v>297</v>
      </c>
      <c r="B24" s="8" t="s">
        <v>32</v>
      </c>
      <c r="C24" s="8" t="s">
        <v>81</v>
      </c>
      <c r="D24" s="8" t="s">
        <v>298</v>
      </c>
      <c r="E24" s="8" t="s">
        <v>238</v>
      </c>
      <c r="F24" s="8" t="s">
        <v>34</v>
      </c>
      <c r="G24" s="8" t="s">
        <v>35</v>
      </c>
      <c r="H24" s="9">
        <v>18646.975999999999</v>
      </c>
      <c r="I24" s="9">
        <v>176053.95</v>
      </c>
      <c r="J24" s="9">
        <v>1657660.8729999999</v>
      </c>
      <c r="K24" s="8" t="s">
        <v>239</v>
      </c>
      <c r="L24" s="8" t="s">
        <v>290</v>
      </c>
      <c r="M24" s="8" t="s">
        <v>103</v>
      </c>
    </row>
    <row r="25" spans="1:13" x14ac:dyDescent="0.25">
      <c r="A25" s="8" t="s">
        <v>299</v>
      </c>
      <c r="B25" s="8" t="s">
        <v>32</v>
      </c>
      <c r="C25" s="8" t="s">
        <v>223</v>
      </c>
      <c r="D25" s="8" t="s">
        <v>272</v>
      </c>
      <c r="E25" s="8" t="s">
        <v>273</v>
      </c>
      <c r="F25" s="8" t="s">
        <v>34</v>
      </c>
      <c r="G25" s="8" t="s">
        <v>35</v>
      </c>
      <c r="H25" s="9">
        <v>4101.1989999999996</v>
      </c>
      <c r="I25" s="9">
        <v>176059.25599999999</v>
      </c>
      <c r="J25" s="9">
        <v>1657874.024</v>
      </c>
      <c r="K25" s="8" t="s">
        <v>239</v>
      </c>
      <c r="L25" s="8" t="s">
        <v>290</v>
      </c>
      <c r="M25" s="8" t="s">
        <v>48</v>
      </c>
    </row>
    <row r="26" spans="1:13" x14ac:dyDescent="0.25">
      <c r="A26" s="8" t="s">
        <v>300</v>
      </c>
      <c r="B26" s="8" t="s">
        <v>32</v>
      </c>
      <c r="C26" s="8" t="s">
        <v>171</v>
      </c>
      <c r="D26" s="8" t="s">
        <v>301</v>
      </c>
      <c r="E26" s="8" t="s">
        <v>302</v>
      </c>
      <c r="F26" s="8" t="s">
        <v>34</v>
      </c>
      <c r="G26" s="8" t="s">
        <v>35</v>
      </c>
      <c r="H26" s="9">
        <v>7251.7039999999997</v>
      </c>
      <c r="I26" s="9">
        <v>176059.54800000001</v>
      </c>
      <c r="J26" s="9">
        <v>1657274.047</v>
      </c>
      <c r="K26" s="8" t="s">
        <v>239</v>
      </c>
      <c r="L26" s="8" t="s">
        <v>288</v>
      </c>
      <c r="M26" s="8" t="s">
        <v>54</v>
      </c>
    </row>
    <row r="27" spans="1:13" x14ac:dyDescent="0.25">
      <c r="A27" s="8" t="s">
        <v>303</v>
      </c>
      <c r="B27" s="8" t="s">
        <v>32</v>
      </c>
      <c r="C27" s="8" t="s">
        <v>212</v>
      </c>
      <c r="D27" s="8" t="s">
        <v>304</v>
      </c>
      <c r="E27" s="8" t="s">
        <v>305</v>
      </c>
      <c r="F27" s="8" t="s">
        <v>34</v>
      </c>
      <c r="G27" s="8" t="s">
        <v>35</v>
      </c>
      <c r="H27" s="9">
        <v>14701.556</v>
      </c>
      <c r="I27" s="9">
        <v>176074.43100000001</v>
      </c>
      <c r="J27" s="9">
        <v>1657914.9680000001</v>
      </c>
      <c r="K27" s="8" t="s">
        <v>239</v>
      </c>
      <c r="L27" s="8" t="s">
        <v>290</v>
      </c>
      <c r="M27" s="8" t="s">
        <v>56</v>
      </c>
    </row>
    <row r="28" spans="1:13" x14ac:dyDescent="0.25">
      <c r="A28" s="8" t="s">
        <v>306</v>
      </c>
      <c r="B28" s="8" t="s">
        <v>32</v>
      </c>
      <c r="C28" s="8" t="s">
        <v>185</v>
      </c>
      <c r="D28" s="8" t="s">
        <v>272</v>
      </c>
      <c r="E28" s="8" t="s">
        <v>273</v>
      </c>
      <c r="F28" s="8" t="s">
        <v>34</v>
      </c>
      <c r="G28" s="8" t="s">
        <v>35</v>
      </c>
      <c r="H28" s="9">
        <v>7618.3729999999996</v>
      </c>
      <c r="I28" s="9">
        <v>176080.89199999999</v>
      </c>
      <c r="J28" s="9">
        <v>1657038.7579999999</v>
      </c>
      <c r="K28" s="8" t="s">
        <v>239</v>
      </c>
      <c r="L28" s="8" t="s">
        <v>288</v>
      </c>
      <c r="M28" s="8" t="s">
        <v>51</v>
      </c>
    </row>
    <row r="29" spans="1:13" x14ac:dyDescent="0.25">
      <c r="A29" s="8" t="s">
        <v>307</v>
      </c>
      <c r="B29" s="8" t="s">
        <v>32</v>
      </c>
      <c r="C29" s="8" t="s">
        <v>143</v>
      </c>
      <c r="D29" s="8" t="s">
        <v>308</v>
      </c>
      <c r="E29" s="8" t="s">
        <v>309</v>
      </c>
      <c r="F29" s="8" t="s">
        <v>34</v>
      </c>
      <c r="G29" s="8" t="s">
        <v>35</v>
      </c>
      <c r="H29" s="9">
        <v>10085.603999999999</v>
      </c>
      <c r="I29" s="9">
        <v>176083.15700000001</v>
      </c>
      <c r="J29" s="9">
        <v>1657958.3570000001</v>
      </c>
      <c r="K29" s="8" t="s">
        <v>239</v>
      </c>
      <c r="L29" s="8" t="s">
        <v>290</v>
      </c>
      <c r="M29" s="8" t="s">
        <v>56</v>
      </c>
    </row>
    <row r="30" spans="1:13" x14ac:dyDescent="0.25">
      <c r="A30" s="8" t="s">
        <v>310</v>
      </c>
      <c r="B30" s="8" t="s">
        <v>32</v>
      </c>
      <c r="C30" s="8" t="s">
        <v>194</v>
      </c>
      <c r="D30" s="8" t="s">
        <v>311</v>
      </c>
      <c r="E30" s="8" t="s">
        <v>312</v>
      </c>
      <c r="F30" s="8" t="s">
        <v>34</v>
      </c>
      <c r="G30" s="8" t="s">
        <v>50</v>
      </c>
      <c r="H30" s="9">
        <v>18416.560000000001</v>
      </c>
      <c r="I30" s="9">
        <v>176089.88099999999</v>
      </c>
      <c r="J30" s="9">
        <v>1657566.166</v>
      </c>
      <c r="K30" s="8" t="s">
        <v>239</v>
      </c>
      <c r="L30" s="8" t="s">
        <v>290</v>
      </c>
      <c r="M30" s="8" t="s">
        <v>51</v>
      </c>
    </row>
    <row r="31" spans="1:13" x14ac:dyDescent="0.25">
      <c r="A31" s="8" t="s">
        <v>313</v>
      </c>
      <c r="B31" s="8" t="s">
        <v>32</v>
      </c>
      <c r="C31" s="8" t="s">
        <v>165</v>
      </c>
      <c r="D31" s="8" t="s">
        <v>314</v>
      </c>
      <c r="E31" s="8" t="s">
        <v>315</v>
      </c>
      <c r="F31" s="8" t="s">
        <v>34</v>
      </c>
      <c r="G31" s="8" t="s">
        <v>35</v>
      </c>
      <c r="H31" s="9">
        <v>10923.772000000001</v>
      </c>
      <c r="I31" s="9">
        <v>176093.91899999999</v>
      </c>
      <c r="J31" s="9">
        <v>1657328.06</v>
      </c>
      <c r="K31" s="8" t="s">
        <v>239</v>
      </c>
      <c r="L31" s="8" t="s">
        <v>288</v>
      </c>
      <c r="M31" s="8" t="s">
        <v>48</v>
      </c>
    </row>
    <row r="32" spans="1:13" x14ac:dyDescent="0.25">
      <c r="A32" s="8" t="s">
        <v>316</v>
      </c>
      <c r="B32" s="8" t="s">
        <v>32</v>
      </c>
      <c r="C32" s="8" t="s">
        <v>135</v>
      </c>
      <c r="D32" s="8" t="s">
        <v>317</v>
      </c>
      <c r="E32" s="8" t="s">
        <v>318</v>
      </c>
      <c r="F32" s="8" t="s">
        <v>34</v>
      </c>
      <c r="G32" s="8" t="s">
        <v>35</v>
      </c>
      <c r="H32" s="9">
        <v>2670.59</v>
      </c>
      <c r="I32" s="9">
        <v>176095.315</v>
      </c>
      <c r="J32" s="9">
        <v>1656933.003</v>
      </c>
      <c r="K32" s="8" t="s">
        <v>239</v>
      </c>
      <c r="L32" s="8" t="s">
        <v>319</v>
      </c>
      <c r="M32" s="8" t="s">
        <v>56</v>
      </c>
    </row>
    <row r="33" spans="1:13" x14ac:dyDescent="0.25">
      <c r="A33" s="8" t="s">
        <v>320</v>
      </c>
      <c r="B33" s="8" t="s">
        <v>32</v>
      </c>
      <c r="C33" s="8" t="s">
        <v>206</v>
      </c>
      <c r="D33" s="8" t="s">
        <v>321</v>
      </c>
      <c r="E33" s="8" t="s">
        <v>238</v>
      </c>
      <c r="F33" s="8" t="s">
        <v>34</v>
      </c>
      <c r="G33" s="8" t="s">
        <v>35</v>
      </c>
      <c r="H33" s="9">
        <v>5681.4059999999999</v>
      </c>
      <c r="I33" s="9">
        <v>176114.18299999999</v>
      </c>
      <c r="J33" s="9">
        <v>1656994.0870000001</v>
      </c>
      <c r="K33" s="8" t="s">
        <v>239</v>
      </c>
      <c r="L33" s="8" t="s">
        <v>319</v>
      </c>
      <c r="M33" s="8" t="s">
        <v>62</v>
      </c>
    </row>
    <row r="34" spans="1:13" x14ac:dyDescent="0.25">
      <c r="A34" s="8" t="s">
        <v>322</v>
      </c>
      <c r="B34" s="8" t="s">
        <v>32</v>
      </c>
      <c r="C34" s="8" t="s">
        <v>86</v>
      </c>
      <c r="D34" s="8" t="s">
        <v>323</v>
      </c>
      <c r="E34" s="8" t="s">
        <v>324</v>
      </c>
      <c r="F34" s="8" t="s">
        <v>34</v>
      </c>
      <c r="G34" s="8" t="s">
        <v>50</v>
      </c>
      <c r="H34" s="9">
        <v>7956.1120000000001</v>
      </c>
      <c r="I34" s="9">
        <v>176121.36799999999</v>
      </c>
      <c r="J34" s="9">
        <v>1657118.5689999999</v>
      </c>
      <c r="K34" s="8" t="s">
        <v>239</v>
      </c>
      <c r="L34" s="8" t="s">
        <v>288</v>
      </c>
      <c r="M34" s="8" t="s">
        <v>109</v>
      </c>
    </row>
    <row r="35" spans="1:13" x14ac:dyDescent="0.25">
      <c r="A35" s="8" t="s">
        <v>325</v>
      </c>
      <c r="B35" s="8" t="s">
        <v>32</v>
      </c>
      <c r="C35" s="8" t="s">
        <v>168</v>
      </c>
      <c r="D35" s="8" t="s">
        <v>92</v>
      </c>
      <c r="E35" s="8" t="s">
        <v>326</v>
      </c>
      <c r="F35" s="8" t="s">
        <v>34</v>
      </c>
      <c r="G35" s="8" t="s">
        <v>35</v>
      </c>
      <c r="H35" s="9">
        <v>1648.75</v>
      </c>
      <c r="I35" s="9">
        <v>176133.57199999999</v>
      </c>
      <c r="J35" s="9">
        <v>1656956.0889999999</v>
      </c>
      <c r="K35" s="8" t="s">
        <v>239</v>
      </c>
      <c r="L35" s="8" t="s">
        <v>319</v>
      </c>
      <c r="M35" s="8" t="s">
        <v>62</v>
      </c>
    </row>
    <row r="36" spans="1:13" x14ac:dyDescent="0.25">
      <c r="A36" s="8" t="s">
        <v>327</v>
      </c>
      <c r="B36" s="8" t="s">
        <v>32</v>
      </c>
      <c r="C36" s="8" t="s">
        <v>219</v>
      </c>
      <c r="D36" s="8" t="s">
        <v>328</v>
      </c>
      <c r="E36" s="8" t="s">
        <v>238</v>
      </c>
      <c r="F36" s="8" t="s">
        <v>34</v>
      </c>
      <c r="G36" s="8" t="s">
        <v>35</v>
      </c>
      <c r="H36" s="9">
        <v>3401.3960000000002</v>
      </c>
      <c r="I36" s="9">
        <v>176140.15400000001</v>
      </c>
      <c r="J36" s="9">
        <v>1657185.453</v>
      </c>
      <c r="K36" s="8" t="s">
        <v>239</v>
      </c>
      <c r="L36" s="8" t="s">
        <v>288</v>
      </c>
      <c r="M36" s="8" t="s">
        <v>109</v>
      </c>
    </row>
    <row r="37" spans="1:13" x14ac:dyDescent="0.25">
      <c r="A37" s="8" t="s">
        <v>329</v>
      </c>
      <c r="B37" s="8" t="s">
        <v>32</v>
      </c>
      <c r="C37" s="8" t="s">
        <v>196</v>
      </c>
      <c r="D37" s="8" t="s">
        <v>330</v>
      </c>
      <c r="E37" s="8" t="s">
        <v>331</v>
      </c>
      <c r="F37" s="8" t="s">
        <v>34</v>
      </c>
      <c r="G37" s="8" t="s">
        <v>50</v>
      </c>
      <c r="H37" s="9">
        <v>7117.2280000000001</v>
      </c>
      <c r="I37" s="9">
        <v>176147.304</v>
      </c>
      <c r="J37" s="9">
        <v>1657424.2779999999</v>
      </c>
      <c r="K37" s="8" t="s">
        <v>239</v>
      </c>
      <c r="L37" s="8" t="s">
        <v>288</v>
      </c>
      <c r="M37" s="8" t="s">
        <v>62</v>
      </c>
    </row>
    <row r="38" spans="1:13" x14ac:dyDescent="0.25">
      <c r="A38" s="8" t="s">
        <v>332</v>
      </c>
      <c r="B38" s="8" t="s">
        <v>32</v>
      </c>
      <c r="C38" s="8" t="s">
        <v>70</v>
      </c>
      <c r="D38" s="8" t="s">
        <v>333</v>
      </c>
      <c r="E38" s="8" t="s">
        <v>334</v>
      </c>
      <c r="F38" s="8" t="s">
        <v>34</v>
      </c>
      <c r="G38" s="8" t="s">
        <v>35</v>
      </c>
      <c r="H38" s="9">
        <v>8788.2330000000002</v>
      </c>
      <c r="I38" s="9">
        <v>176160.74900000001</v>
      </c>
      <c r="J38" s="9">
        <v>1657298.932</v>
      </c>
      <c r="K38" s="8" t="s">
        <v>239</v>
      </c>
      <c r="L38" s="8" t="s">
        <v>288</v>
      </c>
      <c r="M38" s="8" t="s">
        <v>111</v>
      </c>
    </row>
    <row r="39" spans="1:13" x14ac:dyDescent="0.25">
      <c r="A39" s="8" t="s">
        <v>335</v>
      </c>
      <c r="B39" s="8" t="s">
        <v>32</v>
      </c>
      <c r="C39" s="8" t="s">
        <v>172</v>
      </c>
      <c r="D39" s="8" t="s">
        <v>336</v>
      </c>
      <c r="E39" s="8" t="s">
        <v>337</v>
      </c>
      <c r="F39" s="8" t="s">
        <v>34</v>
      </c>
      <c r="G39" s="8" t="s">
        <v>35</v>
      </c>
      <c r="H39" s="9">
        <v>15056.37</v>
      </c>
      <c r="I39" s="9">
        <v>176161.44500000001</v>
      </c>
      <c r="J39" s="9">
        <v>1657650.902</v>
      </c>
      <c r="K39" s="8" t="s">
        <v>239</v>
      </c>
      <c r="L39" s="8" t="s">
        <v>290</v>
      </c>
      <c r="M39" s="8" t="s">
        <v>109</v>
      </c>
    </row>
    <row r="40" spans="1:13" x14ac:dyDescent="0.25">
      <c r="A40" s="8" t="s">
        <v>338</v>
      </c>
      <c r="B40" s="8" t="s">
        <v>32</v>
      </c>
      <c r="C40" s="8" t="s">
        <v>146</v>
      </c>
      <c r="D40" s="8" t="s">
        <v>339</v>
      </c>
      <c r="E40" s="8" t="s">
        <v>340</v>
      </c>
      <c r="F40" s="8" t="s">
        <v>34</v>
      </c>
      <c r="G40" s="8" t="s">
        <v>50</v>
      </c>
      <c r="H40" s="9">
        <v>2795.3620000000001</v>
      </c>
      <c r="I40" s="9">
        <v>176166.109</v>
      </c>
      <c r="J40" s="9">
        <v>1656976.4950000001</v>
      </c>
      <c r="K40" s="8" t="s">
        <v>239</v>
      </c>
      <c r="L40" s="8" t="s">
        <v>319</v>
      </c>
      <c r="M40" s="8" t="s">
        <v>62</v>
      </c>
    </row>
    <row r="41" spans="1:13" x14ac:dyDescent="0.25">
      <c r="A41" s="8" t="s">
        <v>341</v>
      </c>
      <c r="B41" s="8" t="s">
        <v>32</v>
      </c>
      <c r="C41" s="8" t="s">
        <v>78</v>
      </c>
      <c r="D41" s="8" t="s">
        <v>342</v>
      </c>
      <c r="E41" s="8" t="s">
        <v>343</v>
      </c>
      <c r="F41" s="8" t="s">
        <v>34</v>
      </c>
      <c r="G41" s="8" t="s">
        <v>35</v>
      </c>
      <c r="H41" s="9">
        <v>2680.4650000000001</v>
      </c>
      <c r="I41" s="9">
        <v>176170.255</v>
      </c>
      <c r="J41" s="9">
        <v>1657086.8389999999</v>
      </c>
      <c r="K41" s="8" t="s">
        <v>239</v>
      </c>
      <c r="L41" s="8" t="s">
        <v>288</v>
      </c>
      <c r="M41" s="8" t="s">
        <v>66</v>
      </c>
    </row>
    <row r="42" spans="1:13" x14ac:dyDescent="0.25">
      <c r="A42" s="8" t="s">
        <v>344</v>
      </c>
      <c r="B42" s="8" t="s">
        <v>32</v>
      </c>
      <c r="C42" s="8" t="s">
        <v>96</v>
      </c>
      <c r="D42" s="8" t="s">
        <v>84</v>
      </c>
      <c r="E42" s="8" t="s">
        <v>345</v>
      </c>
      <c r="F42" s="8" t="s">
        <v>34</v>
      </c>
      <c r="G42" s="8" t="s">
        <v>35</v>
      </c>
      <c r="H42" s="9">
        <v>4104.7719999999999</v>
      </c>
      <c r="I42" s="9">
        <v>176181.65100000001</v>
      </c>
      <c r="J42" s="9">
        <v>1657750.9410000001</v>
      </c>
      <c r="K42" s="8" t="s">
        <v>239</v>
      </c>
      <c r="L42" s="8" t="s">
        <v>290</v>
      </c>
      <c r="M42" s="8" t="s">
        <v>111</v>
      </c>
    </row>
    <row r="43" spans="1:13" x14ac:dyDescent="0.25">
      <c r="A43" s="8" t="s">
        <v>346</v>
      </c>
      <c r="B43" s="8" t="s">
        <v>32</v>
      </c>
      <c r="C43" s="8" t="s">
        <v>161</v>
      </c>
      <c r="D43" s="8" t="s">
        <v>347</v>
      </c>
      <c r="E43" s="8" t="s">
        <v>348</v>
      </c>
      <c r="F43" s="8" t="s">
        <v>34</v>
      </c>
      <c r="G43" s="8" t="s">
        <v>50</v>
      </c>
      <c r="H43" s="9">
        <v>1887.829</v>
      </c>
      <c r="I43" s="9">
        <v>176185.91800000001</v>
      </c>
      <c r="J43" s="9">
        <v>1657517.844</v>
      </c>
      <c r="K43" s="8" t="s">
        <v>239</v>
      </c>
      <c r="L43" s="8" t="s">
        <v>290</v>
      </c>
      <c r="M43" s="8" t="s">
        <v>66</v>
      </c>
    </row>
    <row r="44" spans="1:13" x14ac:dyDescent="0.25">
      <c r="A44" s="8" t="s">
        <v>349</v>
      </c>
      <c r="B44" s="8" t="s">
        <v>32</v>
      </c>
      <c r="C44" s="8" t="s">
        <v>37</v>
      </c>
      <c r="D44" s="8" t="s">
        <v>350</v>
      </c>
      <c r="E44" s="8" t="s">
        <v>351</v>
      </c>
      <c r="F44" s="8" t="s">
        <v>34</v>
      </c>
      <c r="G44" s="8" t="s">
        <v>35</v>
      </c>
      <c r="H44" s="9">
        <v>3729.2869999999998</v>
      </c>
      <c r="I44" s="9">
        <v>176188.53599999999</v>
      </c>
      <c r="J44" s="9">
        <v>1657470.328</v>
      </c>
      <c r="K44" s="8" t="s">
        <v>239</v>
      </c>
      <c r="L44" s="8" t="s">
        <v>288</v>
      </c>
      <c r="M44" s="8" t="s">
        <v>62</v>
      </c>
    </row>
    <row r="45" spans="1:13" x14ac:dyDescent="0.25">
      <c r="A45" s="8" t="s">
        <v>352</v>
      </c>
      <c r="B45" s="8" t="s">
        <v>32</v>
      </c>
      <c r="C45" s="8" t="s">
        <v>127</v>
      </c>
      <c r="D45" s="8" t="s">
        <v>353</v>
      </c>
      <c r="E45" s="8" t="s">
        <v>354</v>
      </c>
      <c r="F45" s="8" t="s">
        <v>34</v>
      </c>
      <c r="G45" s="8" t="s">
        <v>35</v>
      </c>
      <c r="H45" s="9">
        <v>2890.8719999999998</v>
      </c>
      <c r="I45" s="9">
        <v>176189.47099999999</v>
      </c>
      <c r="J45" s="9">
        <v>1657205.1569999999</v>
      </c>
      <c r="K45" s="8" t="s">
        <v>239</v>
      </c>
      <c r="L45" s="8" t="s">
        <v>288</v>
      </c>
      <c r="M45" s="8" t="s">
        <v>111</v>
      </c>
    </row>
    <row r="46" spans="1:13" x14ac:dyDescent="0.25">
      <c r="A46" s="8" t="s">
        <v>355</v>
      </c>
      <c r="B46" s="8" t="s">
        <v>32</v>
      </c>
      <c r="C46" s="8" t="s">
        <v>166</v>
      </c>
      <c r="D46" s="8" t="s">
        <v>356</v>
      </c>
      <c r="E46" s="8" t="s">
        <v>238</v>
      </c>
      <c r="F46" s="8" t="s">
        <v>34</v>
      </c>
      <c r="G46" s="8" t="s">
        <v>35</v>
      </c>
      <c r="H46" s="9">
        <v>2386.107</v>
      </c>
      <c r="I46" s="9">
        <v>176190.391</v>
      </c>
      <c r="J46" s="9">
        <v>1657081.7930000001</v>
      </c>
      <c r="K46" s="8" t="s">
        <v>239</v>
      </c>
      <c r="L46" s="8" t="s">
        <v>288</v>
      </c>
      <c r="M46" s="8" t="s">
        <v>66</v>
      </c>
    </row>
    <row r="47" spans="1:13" x14ac:dyDescent="0.25">
      <c r="A47" s="8" t="s">
        <v>357</v>
      </c>
      <c r="B47" s="8" t="s">
        <v>32</v>
      </c>
      <c r="C47" s="8" t="s">
        <v>155</v>
      </c>
      <c r="D47" s="8" t="s">
        <v>358</v>
      </c>
      <c r="E47" s="8" t="s">
        <v>238</v>
      </c>
      <c r="F47" s="8" t="s">
        <v>34</v>
      </c>
      <c r="G47" s="8" t="s">
        <v>35</v>
      </c>
      <c r="H47" s="9">
        <v>2873.9160000000002</v>
      </c>
      <c r="I47" s="9">
        <v>176190.45499999999</v>
      </c>
      <c r="J47" s="9">
        <v>1657158.98</v>
      </c>
      <c r="K47" s="8" t="s">
        <v>239</v>
      </c>
      <c r="L47" s="8" t="s">
        <v>288</v>
      </c>
      <c r="M47" s="8" t="s">
        <v>109</v>
      </c>
    </row>
    <row r="48" spans="1:13" x14ac:dyDescent="0.25">
      <c r="A48" s="8" t="s">
        <v>359</v>
      </c>
      <c r="B48" s="8" t="s">
        <v>32</v>
      </c>
      <c r="C48" s="8" t="s">
        <v>179</v>
      </c>
      <c r="D48" s="8" t="s">
        <v>360</v>
      </c>
      <c r="E48" s="8" t="s">
        <v>361</v>
      </c>
      <c r="F48" s="8" t="s">
        <v>34</v>
      </c>
      <c r="G48" s="8" t="s">
        <v>50</v>
      </c>
      <c r="H48" s="9">
        <v>1180.424</v>
      </c>
      <c r="I48" s="9">
        <v>176193.84599999999</v>
      </c>
      <c r="J48" s="9">
        <v>1656989.963</v>
      </c>
      <c r="K48" s="8" t="s">
        <v>239</v>
      </c>
      <c r="L48" s="8" t="s">
        <v>319</v>
      </c>
      <c r="M48" s="8" t="s">
        <v>62</v>
      </c>
    </row>
    <row r="49" spans="1:13" x14ac:dyDescent="0.25">
      <c r="A49" s="8" t="s">
        <v>362</v>
      </c>
      <c r="B49" s="8" t="s">
        <v>32</v>
      </c>
      <c r="C49" s="8" t="s">
        <v>121</v>
      </c>
      <c r="D49" s="8" t="s">
        <v>363</v>
      </c>
      <c r="E49" s="8" t="s">
        <v>364</v>
      </c>
      <c r="F49" s="8" t="s">
        <v>34</v>
      </c>
      <c r="G49" s="8" t="s">
        <v>35</v>
      </c>
      <c r="H49" s="9">
        <v>3338.442</v>
      </c>
      <c r="I49" s="9">
        <v>176196.99600000001</v>
      </c>
      <c r="J49" s="9">
        <v>1657790.9939999999</v>
      </c>
      <c r="K49" s="8" t="s">
        <v>239</v>
      </c>
      <c r="L49" s="8" t="s">
        <v>290</v>
      </c>
      <c r="M49" s="8" t="s">
        <v>111</v>
      </c>
    </row>
    <row r="50" spans="1:13" x14ac:dyDescent="0.25">
      <c r="A50" s="8" t="s">
        <v>365</v>
      </c>
      <c r="B50" s="8" t="s">
        <v>32</v>
      </c>
      <c r="C50" s="8" t="s">
        <v>130</v>
      </c>
      <c r="D50" s="8" t="s">
        <v>366</v>
      </c>
      <c r="E50" s="8" t="s">
        <v>238</v>
      </c>
      <c r="F50" s="8" t="s">
        <v>34</v>
      </c>
      <c r="G50" s="8" t="s">
        <v>35</v>
      </c>
      <c r="H50" s="9">
        <v>1597.5050000000001</v>
      </c>
      <c r="I50" s="9">
        <v>176209.049</v>
      </c>
      <c r="J50" s="9">
        <v>1657077.666</v>
      </c>
      <c r="K50" s="8" t="s">
        <v>239</v>
      </c>
      <c r="L50" s="8" t="s">
        <v>288</v>
      </c>
      <c r="M50" s="8" t="s">
        <v>71</v>
      </c>
    </row>
    <row r="51" spans="1:13" x14ac:dyDescent="0.25">
      <c r="A51" s="8" t="s">
        <v>367</v>
      </c>
      <c r="B51" s="8" t="s">
        <v>32</v>
      </c>
      <c r="C51" s="8" t="s">
        <v>191</v>
      </c>
      <c r="D51" s="8" t="s">
        <v>368</v>
      </c>
      <c r="E51" s="8" t="s">
        <v>369</v>
      </c>
      <c r="F51" s="8" t="s">
        <v>34</v>
      </c>
      <c r="G51" s="8" t="s">
        <v>35</v>
      </c>
      <c r="H51" s="9">
        <v>766.55700000000002</v>
      </c>
      <c r="I51" s="9">
        <v>176212.43299999999</v>
      </c>
      <c r="J51" s="9">
        <v>1656985.7180000001</v>
      </c>
      <c r="K51" s="8" t="s">
        <v>239</v>
      </c>
      <c r="L51" s="8" t="s">
        <v>319</v>
      </c>
      <c r="M51" s="8" t="s">
        <v>136</v>
      </c>
    </row>
    <row r="52" spans="1:13" x14ac:dyDescent="0.25">
      <c r="A52" s="8" t="s">
        <v>370</v>
      </c>
      <c r="B52" s="8" t="s">
        <v>32</v>
      </c>
      <c r="C52" s="8" t="s">
        <v>193</v>
      </c>
      <c r="D52" s="8" t="s">
        <v>371</v>
      </c>
      <c r="E52" s="8" t="s">
        <v>372</v>
      </c>
      <c r="F52" s="8" t="s">
        <v>34</v>
      </c>
      <c r="G52" s="8" t="s">
        <v>50</v>
      </c>
      <c r="H52" s="9">
        <v>10604.672</v>
      </c>
      <c r="I52" s="9">
        <v>176217.503</v>
      </c>
      <c r="J52" s="9">
        <v>1657320.3049999999</v>
      </c>
      <c r="K52" s="8" t="s">
        <v>239</v>
      </c>
      <c r="L52" s="8" t="s">
        <v>288</v>
      </c>
      <c r="M52" s="8" t="s">
        <v>74</v>
      </c>
    </row>
    <row r="53" spans="1:13" x14ac:dyDescent="0.25">
      <c r="A53" s="8" t="s">
        <v>373</v>
      </c>
      <c r="B53" s="8" t="s">
        <v>32</v>
      </c>
      <c r="C53" s="8" t="s">
        <v>68</v>
      </c>
      <c r="D53" s="8" t="s">
        <v>374</v>
      </c>
      <c r="E53" s="8" t="s">
        <v>375</v>
      </c>
      <c r="F53" s="8" t="s">
        <v>34</v>
      </c>
      <c r="G53" s="8" t="s">
        <v>35</v>
      </c>
      <c r="H53" s="9">
        <v>1243.1959999999999</v>
      </c>
      <c r="I53" s="9">
        <v>176224.32399999999</v>
      </c>
      <c r="J53" s="9">
        <v>1657530.5209999999</v>
      </c>
      <c r="K53" s="8" t="s">
        <v>239</v>
      </c>
      <c r="L53" s="8" t="s">
        <v>290</v>
      </c>
      <c r="M53" s="8" t="s">
        <v>71</v>
      </c>
    </row>
    <row r="54" spans="1:13" x14ac:dyDescent="0.25">
      <c r="A54" s="8" t="s">
        <v>376</v>
      </c>
      <c r="B54" s="8" t="s">
        <v>32</v>
      </c>
      <c r="C54" s="8" t="s">
        <v>159</v>
      </c>
      <c r="D54" s="8" t="s">
        <v>377</v>
      </c>
      <c r="E54" s="8" t="s">
        <v>238</v>
      </c>
      <c r="F54" s="8" t="s">
        <v>34</v>
      </c>
      <c r="G54" s="8" t="s">
        <v>35</v>
      </c>
      <c r="H54" s="9">
        <v>1183.8109999999999</v>
      </c>
      <c r="I54" s="9">
        <v>176227.239</v>
      </c>
      <c r="J54" s="9">
        <v>1657003.2150000001</v>
      </c>
      <c r="K54" s="8" t="s">
        <v>239</v>
      </c>
      <c r="L54" s="8" t="s">
        <v>288</v>
      </c>
      <c r="M54" s="8" t="s">
        <v>71</v>
      </c>
    </row>
    <row r="55" spans="1:13" x14ac:dyDescent="0.25">
      <c r="A55" s="8" t="s">
        <v>378</v>
      </c>
      <c r="B55" s="8" t="s">
        <v>32</v>
      </c>
      <c r="C55" s="8" t="s">
        <v>195</v>
      </c>
      <c r="D55" s="8" t="s">
        <v>342</v>
      </c>
      <c r="E55" s="8" t="s">
        <v>238</v>
      </c>
      <c r="F55" s="8" t="s">
        <v>34</v>
      </c>
      <c r="G55" s="8" t="s">
        <v>35</v>
      </c>
      <c r="H55" s="9">
        <v>1696.0889999999999</v>
      </c>
      <c r="I55" s="9">
        <v>176227.29699999999</v>
      </c>
      <c r="J55" s="9">
        <v>1657082.264</v>
      </c>
      <c r="K55" s="8" t="s">
        <v>239</v>
      </c>
      <c r="L55" s="8" t="s">
        <v>288</v>
      </c>
      <c r="M55" s="8" t="s">
        <v>71</v>
      </c>
    </row>
    <row r="56" spans="1:13" x14ac:dyDescent="0.25">
      <c r="A56" s="8" t="s">
        <v>379</v>
      </c>
      <c r="B56" s="8" t="s">
        <v>32</v>
      </c>
      <c r="C56" s="8" t="s">
        <v>199</v>
      </c>
      <c r="D56" s="8" t="s">
        <v>380</v>
      </c>
      <c r="E56" s="8" t="s">
        <v>381</v>
      </c>
      <c r="F56" s="8" t="s">
        <v>34</v>
      </c>
      <c r="G56" s="8" t="s">
        <v>50</v>
      </c>
      <c r="H56" s="9">
        <v>6573.7470000000003</v>
      </c>
      <c r="I56" s="9">
        <v>176229.64300000001</v>
      </c>
      <c r="J56" s="9">
        <v>1657656.2709999999</v>
      </c>
      <c r="K56" s="8" t="s">
        <v>239</v>
      </c>
      <c r="L56" s="8" t="s">
        <v>290</v>
      </c>
      <c r="M56" s="8" t="s">
        <v>38</v>
      </c>
    </row>
    <row r="57" spans="1:13" x14ac:dyDescent="0.25">
      <c r="A57" s="8" t="s">
        <v>382</v>
      </c>
      <c r="B57" s="8" t="s">
        <v>32</v>
      </c>
      <c r="C57" s="8" t="s">
        <v>110</v>
      </c>
      <c r="D57" s="8" t="s">
        <v>383</v>
      </c>
      <c r="E57" s="8" t="s">
        <v>384</v>
      </c>
      <c r="F57" s="8" t="s">
        <v>34</v>
      </c>
      <c r="G57" s="8" t="s">
        <v>50</v>
      </c>
      <c r="H57" s="9">
        <v>4638.2430000000004</v>
      </c>
      <c r="I57" s="9">
        <v>176236.81599999999</v>
      </c>
      <c r="J57" s="9">
        <v>1657932.25</v>
      </c>
      <c r="K57" s="8" t="s">
        <v>239</v>
      </c>
      <c r="L57" s="8" t="s">
        <v>290</v>
      </c>
      <c r="M57" s="8" t="s">
        <v>136</v>
      </c>
    </row>
    <row r="58" spans="1:13" x14ac:dyDescent="0.25">
      <c r="A58" s="8" t="s">
        <v>385</v>
      </c>
      <c r="B58" s="8" t="s">
        <v>32</v>
      </c>
      <c r="C58" s="8" t="s">
        <v>113</v>
      </c>
      <c r="D58" s="8" t="s">
        <v>386</v>
      </c>
      <c r="E58" s="8" t="s">
        <v>387</v>
      </c>
      <c r="F58" s="8" t="s">
        <v>34</v>
      </c>
      <c r="G58" s="8" t="s">
        <v>35</v>
      </c>
      <c r="H58" s="9">
        <v>3107.598</v>
      </c>
      <c r="I58" s="9">
        <v>176239.28599999999</v>
      </c>
      <c r="J58" s="9">
        <v>1657956.5560000001</v>
      </c>
      <c r="K58" s="8" t="s">
        <v>239</v>
      </c>
      <c r="L58" s="8" t="s">
        <v>290</v>
      </c>
      <c r="M58" s="8" t="s">
        <v>136</v>
      </c>
    </row>
    <row r="59" spans="1:13" x14ac:dyDescent="0.25">
      <c r="A59" s="8" t="s">
        <v>388</v>
      </c>
      <c r="B59" s="8" t="s">
        <v>32</v>
      </c>
      <c r="C59" s="8" t="s">
        <v>170</v>
      </c>
      <c r="D59" s="8" t="s">
        <v>389</v>
      </c>
      <c r="E59" s="8" t="s">
        <v>390</v>
      </c>
      <c r="F59" s="8" t="s">
        <v>34</v>
      </c>
      <c r="G59" s="8" t="s">
        <v>35</v>
      </c>
      <c r="H59" s="9">
        <v>2390.038</v>
      </c>
      <c r="I59" s="9">
        <v>176243.77100000001</v>
      </c>
      <c r="J59" s="9">
        <v>1657195.186</v>
      </c>
      <c r="K59" s="8" t="s">
        <v>239</v>
      </c>
      <c r="L59" s="8" t="s">
        <v>288</v>
      </c>
      <c r="M59" s="8" t="s">
        <v>38</v>
      </c>
    </row>
    <row r="60" spans="1:13" x14ac:dyDescent="0.25">
      <c r="A60" s="8" t="s">
        <v>391</v>
      </c>
      <c r="B60" s="8" t="s">
        <v>32</v>
      </c>
      <c r="C60" s="8" t="s">
        <v>63</v>
      </c>
      <c r="D60" s="8" t="s">
        <v>97</v>
      </c>
      <c r="E60" s="8" t="s">
        <v>392</v>
      </c>
      <c r="F60" s="8" t="s">
        <v>32</v>
      </c>
      <c r="G60" s="8" t="s">
        <v>32</v>
      </c>
      <c r="H60" s="9">
        <v>4159.3530000000001</v>
      </c>
      <c r="I60" s="9">
        <v>176244.74799999999</v>
      </c>
      <c r="J60" s="9">
        <v>1657969.9709999999</v>
      </c>
      <c r="K60" s="8" t="s">
        <v>239</v>
      </c>
      <c r="L60" s="8" t="s">
        <v>290</v>
      </c>
      <c r="M60" s="8" t="s">
        <v>136</v>
      </c>
    </row>
    <row r="61" spans="1:13" x14ac:dyDescent="0.25">
      <c r="A61" s="8" t="s">
        <v>393</v>
      </c>
      <c r="B61" s="8" t="s">
        <v>32</v>
      </c>
      <c r="C61" s="8" t="s">
        <v>217</v>
      </c>
      <c r="D61" s="8" t="s">
        <v>394</v>
      </c>
      <c r="E61" s="8" t="s">
        <v>392</v>
      </c>
      <c r="F61" s="8" t="s">
        <v>32</v>
      </c>
      <c r="G61" s="8" t="s">
        <v>32</v>
      </c>
      <c r="H61" s="9">
        <v>5075.1719999999996</v>
      </c>
      <c r="I61" s="9">
        <v>176244.81400000001</v>
      </c>
      <c r="J61" s="9">
        <v>1657975.2</v>
      </c>
      <c r="K61" s="8" t="s">
        <v>239</v>
      </c>
      <c r="L61" s="8" t="s">
        <v>290</v>
      </c>
      <c r="M61" s="8" t="s">
        <v>136</v>
      </c>
    </row>
    <row r="62" spans="1:13" x14ac:dyDescent="0.25">
      <c r="A62" s="8" t="s">
        <v>395</v>
      </c>
      <c r="B62" s="8" t="s">
        <v>32</v>
      </c>
      <c r="C62" s="8" t="s">
        <v>108</v>
      </c>
      <c r="D62" s="8" t="s">
        <v>396</v>
      </c>
      <c r="E62" s="8" t="s">
        <v>238</v>
      </c>
      <c r="F62" s="8" t="s">
        <v>34</v>
      </c>
      <c r="G62" s="8" t="s">
        <v>35</v>
      </c>
      <c r="H62" s="9">
        <v>1202.8140000000001</v>
      </c>
      <c r="I62" s="9">
        <v>176245.50700000001</v>
      </c>
      <c r="J62" s="9">
        <v>1657010.598</v>
      </c>
      <c r="K62" s="8" t="s">
        <v>239</v>
      </c>
      <c r="L62" s="8" t="s">
        <v>288</v>
      </c>
      <c r="M62" s="8" t="s">
        <v>71</v>
      </c>
    </row>
    <row r="63" spans="1:13" x14ac:dyDescent="0.25">
      <c r="A63" s="8" t="s">
        <v>397</v>
      </c>
      <c r="B63" s="8" t="s">
        <v>32</v>
      </c>
      <c r="C63" s="8" t="s">
        <v>225</v>
      </c>
      <c r="D63" s="8" t="s">
        <v>398</v>
      </c>
      <c r="E63" s="8" t="s">
        <v>399</v>
      </c>
      <c r="F63" s="8" t="s">
        <v>34</v>
      </c>
      <c r="G63" s="8" t="s">
        <v>50</v>
      </c>
      <c r="H63" s="9">
        <v>4101.28</v>
      </c>
      <c r="I63" s="9">
        <v>176245.677</v>
      </c>
      <c r="J63" s="9">
        <v>1657357.625</v>
      </c>
      <c r="K63" s="8" t="s">
        <v>239</v>
      </c>
      <c r="L63" s="8" t="s">
        <v>288</v>
      </c>
      <c r="M63" s="8" t="s">
        <v>74</v>
      </c>
    </row>
    <row r="64" spans="1:13" x14ac:dyDescent="0.25">
      <c r="A64" s="8" t="s">
        <v>400</v>
      </c>
      <c r="B64" s="8" t="s">
        <v>32</v>
      </c>
      <c r="C64" s="8" t="s">
        <v>151</v>
      </c>
      <c r="D64" s="8" t="s">
        <v>401</v>
      </c>
      <c r="E64" s="8" t="s">
        <v>238</v>
      </c>
      <c r="F64" s="8" t="s">
        <v>34</v>
      </c>
      <c r="G64" s="8" t="s">
        <v>35</v>
      </c>
      <c r="H64" s="9">
        <v>6273.857</v>
      </c>
      <c r="I64" s="9">
        <v>176256.484</v>
      </c>
      <c r="J64" s="9">
        <v>1657079.5090000001</v>
      </c>
      <c r="K64" s="8" t="s">
        <v>239</v>
      </c>
      <c r="L64" s="8" t="s">
        <v>288</v>
      </c>
      <c r="M64" s="8" t="s">
        <v>71</v>
      </c>
    </row>
    <row r="65" spans="1:13" x14ac:dyDescent="0.25">
      <c r="A65" s="8" t="s">
        <v>402</v>
      </c>
      <c r="B65" s="8" t="s">
        <v>32</v>
      </c>
      <c r="C65" s="8" t="s">
        <v>95</v>
      </c>
      <c r="D65" s="8" t="s">
        <v>403</v>
      </c>
      <c r="E65" s="8" t="s">
        <v>404</v>
      </c>
      <c r="F65" s="8" t="s">
        <v>34</v>
      </c>
      <c r="G65" s="8" t="s">
        <v>35</v>
      </c>
      <c r="H65" s="9">
        <v>3771.2570000000001</v>
      </c>
      <c r="I65" s="9">
        <v>176268.41399999999</v>
      </c>
      <c r="J65" s="9">
        <v>1657668.314</v>
      </c>
      <c r="K65" s="8" t="s">
        <v>239</v>
      </c>
      <c r="L65" s="8" t="s">
        <v>290</v>
      </c>
      <c r="M65" s="8" t="s">
        <v>38</v>
      </c>
    </row>
    <row r="66" spans="1:13" x14ac:dyDescent="0.25">
      <c r="A66" s="8" t="s">
        <v>405</v>
      </c>
      <c r="B66" s="8" t="s">
        <v>32</v>
      </c>
      <c r="C66" s="8" t="s">
        <v>181</v>
      </c>
      <c r="D66" s="8" t="s">
        <v>406</v>
      </c>
      <c r="E66" s="8" t="s">
        <v>351</v>
      </c>
      <c r="F66" s="8" t="s">
        <v>34</v>
      </c>
      <c r="G66" s="8" t="s">
        <v>35</v>
      </c>
      <c r="H66" s="9">
        <v>1800.489</v>
      </c>
      <c r="I66" s="9">
        <v>176276.228</v>
      </c>
      <c r="J66" s="9">
        <v>1657091.5330000001</v>
      </c>
      <c r="K66" s="8" t="s">
        <v>239</v>
      </c>
      <c r="L66" s="8" t="s">
        <v>288</v>
      </c>
      <c r="M66" s="8" t="s">
        <v>71</v>
      </c>
    </row>
    <row r="67" spans="1:13" x14ac:dyDescent="0.25">
      <c r="A67" s="8" t="s">
        <v>407</v>
      </c>
      <c r="B67" s="8" t="s">
        <v>32</v>
      </c>
      <c r="C67" s="8" t="s">
        <v>183</v>
      </c>
      <c r="D67" s="8" t="s">
        <v>408</v>
      </c>
      <c r="E67" s="8" t="s">
        <v>273</v>
      </c>
      <c r="F67" s="8" t="s">
        <v>34</v>
      </c>
      <c r="G67" s="8" t="s">
        <v>35</v>
      </c>
      <c r="H67" s="9">
        <v>10385.355</v>
      </c>
      <c r="I67" s="9">
        <v>176279.92600000001</v>
      </c>
      <c r="J67" s="9">
        <v>1657813.2890000001</v>
      </c>
      <c r="K67" s="8" t="s">
        <v>239</v>
      </c>
      <c r="L67" s="8" t="s">
        <v>290</v>
      </c>
      <c r="M67" s="8" t="s">
        <v>74</v>
      </c>
    </row>
    <row r="68" spans="1:13" x14ac:dyDescent="0.25">
      <c r="A68" s="8" t="s">
        <v>409</v>
      </c>
      <c r="B68" s="8" t="s">
        <v>32</v>
      </c>
      <c r="C68" s="8" t="s">
        <v>158</v>
      </c>
      <c r="D68" s="8" t="s">
        <v>410</v>
      </c>
      <c r="E68" s="8" t="s">
        <v>238</v>
      </c>
      <c r="F68" s="8" t="s">
        <v>34</v>
      </c>
      <c r="G68" s="8" t="s">
        <v>35</v>
      </c>
      <c r="H68" s="9">
        <v>10596.664000000001</v>
      </c>
      <c r="I68" s="9">
        <v>176294.89600000001</v>
      </c>
      <c r="J68" s="9">
        <v>1657872.1059999999</v>
      </c>
      <c r="K68" s="8" t="s">
        <v>239</v>
      </c>
      <c r="L68" s="8" t="s">
        <v>290</v>
      </c>
      <c r="M68" s="8" t="s">
        <v>74</v>
      </c>
    </row>
    <row r="69" spans="1:13" x14ac:dyDescent="0.25">
      <c r="A69" s="8" t="s">
        <v>411</v>
      </c>
      <c r="B69" s="8" t="s">
        <v>32</v>
      </c>
      <c r="C69" s="8" t="s">
        <v>178</v>
      </c>
      <c r="D69" s="8" t="s">
        <v>412</v>
      </c>
      <c r="E69" s="8" t="s">
        <v>413</v>
      </c>
      <c r="F69" s="8" t="s">
        <v>34</v>
      </c>
      <c r="G69" s="8" t="s">
        <v>35</v>
      </c>
      <c r="H69" s="9">
        <v>6042.5820000000003</v>
      </c>
      <c r="I69" s="9">
        <v>176294.995</v>
      </c>
      <c r="J69" s="9">
        <v>1657678.855</v>
      </c>
      <c r="K69" s="8" t="s">
        <v>239</v>
      </c>
      <c r="L69" s="8" t="s">
        <v>290</v>
      </c>
      <c r="M69" s="8" t="s">
        <v>38</v>
      </c>
    </row>
    <row r="70" spans="1:13" x14ac:dyDescent="0.25">
      <c r="A70" s="8" t="s">
        <v>414</v>
      </c>
      <c r="B70" s="8" t="s">
        <v>32</v>
      </c>
      <c r="C70" s="8" t="s">
        <v>192</v>
      </c>
      <c r="D70" s="8" t="s">
        <v>415</v>
      </c>
      <c r="E70" s="8" t="s">
        <v>416</v>
      </c>
      <c r="F70" s="8" t="s">
        <v>34</v>
      </c>
      <c r="G70" s="8" t="s">
        <v>50</v>
      </c>
      <c r="H70" s="9">
        <v>5324.6239999999998</v>
      </c>
      <c r="I70" s="9">
        <v>176295.91099999999</v>
      </c>
      <c r="J70" s="9">
        <v>1657401.084</v>
      </c>
      <c r="K70" s="8" t="s">
        <v>239</v>
      </c>
      <c r="L70" s="8" t="s">
        <v>288</v>
      </c>
      <c r="M70" s="8" t="s">
        <v>136</v>
      </c>
    </row>
    <row r="71" spans="1:13" x14ac:dyDescent="0.25">
      <c r="A71" s="8" t="s">
        <v>417</v>
      </c>
      <c r="B71" s="8" t="s">
        <v>32</v>
      </c>
      <c r="C71" s="8" t="s">
        <v>116</v>
      </c>
      <c r="D71" s="8" t="s">
        <v>336</v>
      </c>
      <c r="E71" s="8" t="s">
        <v>337</v>
      </c>
      <c r="F71" s="8" t="s">
        <v>34</v>
      </c>
      <c r="G71" s="8" t="s">
        <v>35</v>
      </c>
      <c r="H71" s="9">
        <v>6410.7449999999999</v>
      </c>
      <c r="I71" s="9">
        <v>176296.45</v>
      </c>
      <c r="J71" s="9">
        <v>1657524.5889999999</v>
      </c>
      <c r="K71" s="8" t="s">
        <v>239</v>
      </c>
      <c r="L71" s="8" t="s">
        <v>290</v>
      </c>
      <c r="M71" s="8" t="s">
        <v>71</v>
      </c>
    </row>
    <row r="72" spans="1:13" x14ac:dyDescent="0.25">
      <c r="A72" s="8" t="s">
        <v>418</v>
      </c>
      <c r="B72" s="8" t="s">
        <v>32</v>
      </c>
      <c r="C72" s="8" t="s">
        <v>233</v>
      </c>
      <c r="D72" s="8" t="s">
        <v>419</v>
      </c>
      <c r="E72" s="8" t="s">
        <v>420</v>
      </c>
      <c r="F72" s="8" t="s">
        <v>34</v>
      </c>
      <c r="G72" s="8" t="s">
        <v>35</v>
      </c>
      <c r="H72" s="9">
        <v>4333.875</v>
      </c>
      <c r="I72" s="9">
        <v>176309.63099999999</v>
      </c>
      <c r="J72" s="9">
        <v>1657698.2239999999</v>
      </c>
      <c r="K72" s="8" t="s">
        <v>239</v>
      </c>
      <c r="L72" s="8" t="s">
        <v>290</v>
      </c>
      <c r="M72" s="8" t="s">
        <v>77</v>
      </c>
    </row>
    <row r="73" spans="1:13" x14ac:dyDescent="0.25">
      <c r="A73" s="8" t="s">
        <v>421</v>
      </c>
      <c r="B73" s="8" t="s">
        <v>32</v>
      </c>
      <c r="C73" s="8" t="s">
        <v>174</v>
      </c>
      <c r="D73" s="8" t="s">
        <v>336</v>
      </c>
      <c r="E73" s="8" t="s">
        <v>337</v>
      </c>
      <c r="F73" s="8" t="s">
        <v>34</v>
      </c>
      <c r="G73" s="8" t="s">
        <v>35</v>
      </c>
      <c r="H73" s="9">
        <v>13600.800999999999</v>
      </c>
      <c r="I73" s="9">
        <v>176311.40100000001</v>
      </c>
      <c r="J73" s="9">
        <v>1657153.9439999999</v>
      </c>
      <c r="K73" s="8" t="s">
        <v>239</v>
      </c>
      <c r="L73" s="8" t="s">
        <v>288</v>
      </c>
      <c r="M73" s="8" t="s">
        <v>77</v>
      </c>
    </row>
    <row r="74" spans="1:13" x14ac:dyDescent="0.25">
      <c r="A74" s="8" t="s">
        <v>422</v>
      </c>
      <c r="B74" s="8" t="s">
        <v>32</v>
      </c>
      <c r="C74" s="8" t="s">
        <v>126</v>
      </c>
      <c r="D74" s="8" t="s">
        <v>423</v>
      </c>
      <c r="E74" s="8" t="s">
        <v>424</v>
      </c>
      <c r="F74" s="8" t="s">
        <v>34</v>
      </c>
      <c r="G74" s="8" t="s">
        <v>50</v>
      </c>
      <c r="H74" s="9">
        <v>6021.2560000000003</v>
      </c>
      <c r="I74" s="9">
        <v>176319.88500000001</v>
      </c>
      <c r="J74" s="9">
        <v>1657406.2790000001</v>
      </c>
      <c r="K74" s="8" t="s">
        <v>239</v>
      </c>
      <c r="L74" s="8" t="s">
        <v>288</v>
      </c>
      <c r="M74" s="8" t="s">
        <v>40</v>
      </c>
    </row>
    <row r="75" spans="1:13" x14ac:dyDescent="0.25">
      <c r="A75" s="8" t="s">
        <v>425</v>
      </c>
      <c r="B75" s="8" t="s">
        <v>32</v>
      </c>
      <c r="C75" s="8" t="s">
        <v>197</v>
      </c>
      <c r="D75" s="8" t="s">
        <v>426</v>
      </c>
      <c r="E75" s="8" t="s">
        <v>427</v>
      </c>
      <c r="F75" s="8" t="s">
        <v>34</v>
      </c>
      <c r="G75" s="8" t="s">
        <v>50</v>
      </c>
      <c r="H75" s="9">
        <v>3551.6889999999999</v>
      </c>
      <c r="I75" s="9">
        <v>176327.13699999999</v>
      </c>
      <c r="J75" s="9">
        <v>1657709.196</v>
      </c>
      <c r="K75" s="8" t="s">
        <v>239</v>
      </c>
      <c r="L75" s="8" t="s">
        <v>290</v>
      </c>
      <c r="M75" s="8" t="s">
        <v>207</v>
      </c>
    </row>
    <row r="76" spans="1:13" x14ac:dyDescent="0.25">
      <c r="A76" s="8" t="s">
        <v>428</v>
      </c>
      <c r="B76" s="8" t="s">
        <v>32</v>
      </c>
      <c r="C76" s="8" t="s">
        <v>134</v>
      </c>
      <c r="D76" s="8" t="s">
        <v>429</v>
      </c>
      <c r="E76" s="8" t="s">
        <v>430</v>
      </c>
      <c r="F76" s="8" t="s">
        <v>34</v>
      </c>
      <c r="G76" s="8" t="s">
        <v>35</v>
      </c>
      <c r="H76" s="9">
        <v>7632.5550000000003</v>
      </c>
      <c r="I76" s="9">
        <v>176346.62299999999</v>
      </c>
      <c r="J76" s="9">
        <v>1657260.121</v>
      </c>
      <c r="K76" s="8" t="s">
        <v>239</v>
      </c>
      <c r="L76" s="8" t="s">
        <v>288</v>
      </c>
      <c r="M76" s="8" t="s">
        <v>207</v>
      </c>
    </row>
    <row r="77" spans="1:13" x14ac:dyDescent="0.25">
      <c r="A77" s="8" t="s">
        <v>431</v>
      </c>
      <c r="B77" s="8" t="s">
        <v>32</v>
      </c>
      <c r="C77" s="8" t="s">
        <v>147</v>
      </c>
      <c r="D77" s="8" t="s">
        <v>432</v>
      </c>
      <c r="E77" s="8" t="s">
        <v>433</v>
      </c>
      <c r="F77" s="8" t="s">
        <v>34</v>
      </c>
      <c r="G77" s="8" t="s">
        <v>50</v>
      </c>
      <c r="H77" s="9">
        <v>5855.9639999999999</v>
      </c>
      <c r="I77" s="9">
        <v>176346.772</v>
      </c>
      <c r="J77" s="9">
        <v>1657169.702</v>
      </c>
      <c r="K77" s="8" t="s">
        <v>239</v>
      </c>
      <c r="L77" s="8" t="s">
        <v>288</v>
      </c>
      <c r="M77" s="8" t="s">
        <v>77</v>
      </c>
    </row>
    <row r="78" spans="1:13" x14ac:dyDescent="0.25">
      <c r="A78" s="8" t="s">
        <v>434</v>
      </c>
      <c r="B78" s="8" t="s">
        <v>32</v>
      </c>
      <c r="C78" s="8" t="s">
        <v>43</v>
      </c>
      <c r="D78" s="8" t="s">
        <v>435</v>
      </c>
      <c r="E78" s="8" t="s">
        <v>436</v>
      </c>
      <c r="F78" s="8" t="s">
        <v>34</v>
      </c>
      <c r="G78" s="8" t="s">
        <v>35</v>
      </c>
      <c r="H78" s="9">
        <v>8118.3890000000001</v>
      </c>
      <c r="I78" s="9">
        <v>176356.68599999999</v>
      </c>
      <c r="J78" s="9">
        <v>1657271.6440000001</v>
      </c>
      <c r="K78" s="8" t="s">
        <v>239</v>
      </c>
      <c r="L78" s="8" t="s">
        <v>288</v>
      </c>
      <c r="M78" s="8" t="s">
        <v>207</v>
      </c>
    </row>
    <row r="79" spans="1:13" x14ac:dyDescent="0.25">
      <c r="A79" s="8" t="s">
        <v>437</v>
      </c>
      <c r="B79" s="8" t="s">
        <v>32</v>
      </c>
      <c r="C79" s="8" t="s">
        <v>69</v>
      </c>
      <c r="D79" s="8" t="s">
        <v>438</v>
      </c>
      <c r="E79" s="8" t="s">
        <v>439</v>
      </c>
      <c r="F79" s="8" t="s">
        <v>34</v>
      </c>
      <c r="G79" s="8" t="s">
        <v>35</v>
      </c>
      <c r="H79" s="9">
        <v>5712.125</v>
      </c>
      <c r="I79" s="9">
        <v>176366.72700000001</v>
      </c>
      <c r="J79" s="9">
        <v>1657714.503</v>
      </c>
      <c r="K79" s="8" t="s">
        <v>239</v>
      </c>
      <c r="L79" s="8" t="s">
        <v>290</v>
      </c>
      <c r="M79" s="8" t="s">
        <v>207</v>
      </c>
    </row>
    <row r="80" spans="1:13" x14ac:dyDescent="0.25">
      <c r="A80" s="8" t="s">
        <v>440</v>
      </c>
      <c r="B80" s="8" t="s">
        <v>32</v>
      </c>
      <c r="C80" s="8" t="s">
        <v>144</v>
      </c>
      <c r="D80" s="8" t="s">
        <v>441</v>
      </c>
      <c r="E80" s="8" t="s">
        <v>442</v>
      </c>
      <c r="F80" s="8" t="s">
        <v>34</v>
      </c>
      <c r="G80" s="8" t="s">
        <v>35</v>
      </c>
      <c r="H80" s="9">
        <v>5702.5529999999999</v>
      </c>
      <c r="I80" s="9">
        <v>176367.323</v>
      </c>
      <c r="J80" s="9">
        <v>1657181.4169999999</v>
      </c>
      <c r="K80" s="8" t="s">
        <v>239</v>
      </c>
      <c r="L80" s="8" t="s">
        <v>288</v>
      </c>
      <c r="M80" s="8" t="s">
        <v>77</v>
      </c>
    </row>
    <row r="81" spans="1:13" x14ac:dyDescent="0.25">
      <c r="A81" s="8" t="s">
        <v>443</v>
      </c>
      <c r="B81" s="8" t="s">
        <v>32</v>
      </c>
      <c r="C81" s="8" t="s">
        <v>208</v>
      </c>
      <c r="D81" s="8" t="s">
        <v>444</v>
      </c>
      <c r="E81" s="8" t="s">
        <v>445</v>
      </c>
      <c r="F81" s="8" t="s">
        <v>34</v>
      </c>
      <c r="G81" s="8" t="s">
        <v>35</v>
      </c>
      <c r="H81" s="9">
        <v>6000.9629999999997</v>
      </c>
      <c r="I81" s="9">
        <v>176374.34899999999</v>
      </c>
      <c r="J81" s="9">
        <v>1657398.1340000001</v>
      </c>
      <c r="K81" s="8" t="s">
        <v>239</v>
      </c>
      <c r="L81" s="8" t="s">
        <v>288</v>
      </c>
      <c r="M81" s="8" t="s">
        <v>85</v>
      </c>
    </row>
    <row r="82" spans="1:13" x14ac:dyDescent="0.25">
      <c r="A82" s="8" t="s">
        <v>446</v>
      </c>
      <c r="B82" s="8" t="s">
        <v>32</v>
      </c>
      <c r="C82" s="8" t="s">
        <v>141</v>
      </c>
      <c r="D82" s="8" t="s">
        <v>447</v>
      </c>
      <c r="E82" s="8" t="s">
        <v>448</v>
      </c>
      <c r="F82" s="8" t="s">
        <v>34</v>
      </c>
      <c r="G82" s="8" t="s">
        <v>35</v>
      </c>
      <c r="H82" s="9">
        <v>7827.8059999999996</v>
      </c>
      <c r="I82" s="9">
        <v>176381.12599999999</v>
      </c>
      <c r="J82" s="9">
        <v>1657923.933</v>
      </c>
      <c r="K82" s="8" t="s">
        <v>239</v>
      </c>
      <c r="L82" s="8" t="s">
        <v>290</v>
      </c>
      <c r="M82" s="8" t="s">
        <v>40</v>
      </c>
    </row>
    <row r="83" spans="1:13" x14ac:dyDescent="0.25">
      <c r="A83" s="8" t="s">
        <v>449</v>
      </c>
      <c r="B83" s="8" t="s">
        <v>32</v>
      </c>
      <c r="C83" s="8" t="s">
        <v>160</v>
      </c>
      <c r="D83" s="8" t="s">
        <v>275</v>
      </c>
      <c r="E83" s="8" t="s">
        <v>276</v>
      </c>
      <c r="F83" s="8" t="s">
        <v>34</v>
      </c>
      <c r="G83" s="8" t="s">
        <v>35</v>
      </c>
      <c r="H83" s="9">
        <v>7143.9009999999998</v>
      </c>
      <c r="I83" s="9">
        <v>176398.47399999999</v>
      </c>
      <c r="J83" s="9">
        <v>1657835.06</v>
      </c>
      <c r="K83" s="8" t="s">
        <v>239</v>
      </c>
      <c r="L83" s="8" t="s">
        <v>290</v>
      </c>
      <c r="M83" s="8" t="s">
        <v>85</v>
      </c>
    </row>
    <row r="84" spans="1:13" x14ac:dyDescent="0.25">
      <c r="A84" s="8" t="s">
        <v>450</v>
      </c>
      <c r="B84" s="8" t="s">
        <v>32</v>
      </c>
      <c r="C84" s="8" t="s">
        <v>57</v>
      </c>
      <c r="D84" s="8" t="s">
        <v>374</v>
      </c>
      <c r="E84" s="8" t="s">
        <v>375</v>
      </c>
      <c r="F84" s="8" t="s">
        <v>34</v>
      </c>
      <c r="G84" s="8" t="s">
        <v>50</v>
      </c>
      <c r="H84" s="9">
        <v>8730.0360000000001</v>
      </c>
      <c r="I84" s="9">
        <v>176400.41800000001</v>
      </c>
      <c r="J84" s="9">
        <v>1657326.3670000001</v>
      </c>
      <c r="K84" s="8" t="s">
        <v>239</v>
      </c>
      <c r="L84" s="8" t="s">
        <v>288</v>
      </c>
      <c r="M84" s="8" t="s">
        <v>90</v>
      </c>
    </row>
    <row r="85" spans="1:13" x14ac:dyDescent="0.25">
      <c r="A85" s="8" t="s">
        <v>451</v>
      </c>
      <c r="B85" s="8" t="s">
        <v>32</v>
      </c>
      <c r="C85" s="8" t="s">
        <v>137</v>
      </c>
      <c r="D85" s="8" t="s">
        <v>452</v>
      </c>
      <c r="E85" s="8" t="s">
        <v>453</v>
      </c>
      <c r="F85" s="8" t="s">
        <v>34</v>
      </c>
      <c r="G85" s="8" t="s">
        <v>35</v>
      </c>
      <c r="H85" s="9">
        <v>5787.3680000000004</v>
      </c>
      <c r="I85" s="9">
        <v>176413.82800000001</v>
      </c>
      <c r="J85" s="9">
        <v>1657860.1769999999</v>
      </c>
      <c r="K85" s="8" t="s">
        <v>239</v>
      </c>
      <c r="L85" s="8" t="s">
        <v>290</v>
      </c>
      <c r="M85" s="8" t="s">
        <v>90</v>
      </c>
    </row>
    <row r="86" spans="1:13" x14ac:dyDescent="0.25">
      <c r="A86" s="8" t="s">
        <v>454</v>
      </c>
      <c r="B86" s="8" t="s">
        <v>32</v>
      </c>
      <c r="C86" s="8" t="s">
        <v>104</v>
      </c>
      <c r="D86" s="8" t="s">
        <v>455</v>
      </c>
      <c r="E86" s="8" t="s">
        <v>456</v>
      </c>
      <c r="F86" s="8" t="s">
        <v>34</v>
      </c>
      <c r="G86" s="8" t="s">
        <v>35</v>
      </c>
      <c r="H86" s="9">
        <v>4000.3780000000002</v>
      </c>
      <c r="I86" s="9">
        <v>176416.75599999999</v>
      </c>
      <c r="J86" s="9">
        <v>1657723.777</v>
      </c>
      <c r="K86" s="8" t="s">
        <v>239</v>
      </c>
      <c r="L86" s="8" t="s">
        <v>290</v>
      </c>
      <c r="M86" s="8" t="s">
        <v>59</v>
      </c>
    </row>
    <row r="87" spans="1:13" x14ac:dyDescent="0.25">
      <c r="A87" s="8" t="s">
        <v>457</v>
      </c>
      <c r="B87" s="8" t="s">
        <v>32</v>
      </c>
      <c r="C87" s="8" t="s">
        <v>145</v>
      </c>
      <c r="D87" s="8" t="s">
        <v>458</v>
      </c>
      <c r="E87" s="8" t="s">
        <v>459</v>
      </c>
      <c r="F87" s="8" t="s">
        <v>34</v>
      </c>
      <c r="G87" s="8" t="s">
        <v>35</v>
      </c>
      <c r="H87" s="9">
        <v>9652.8459999999995</v>
      </c>
      <c r="I87" s="9">
        <v>176419.26300000001</v>
      </c>
      <c r="J87" s="9">
        <v>1657497.73</v>
      </c>
      <c r="K87" s="8" t="s">
        <v>239</v>
      </c>
      <c r="L87" s="8" t="s">
        <v>288</v>
      </c>
      <c r="M87" s="8" t="s">
        <v>88</v>
      </c>
    </row>
    <row r="88" spans="1:13" x14ac:dyDescent="0.25">
      <c r="A88" s="8" t="s">
        <v>460</v>
      </c>
      <c r="B88" s="8" t="s">
        <v>32</v>
      </c>
      <c r="C88" s="8" t="s">
        <v>101</v>
      </c>
      <c r="D88" s="8" t="s">
        <v>371</v>
      </c>
      <c r="E88" s="8" t="s">
        <v>372</v>
      </c>
      <c r="F88" s="8" t="s">
        <v>34</v>
      </c>
      <c r="G88" s="8" t="s">
        <v>50</v>
      </c>
      <c r="H88" s="9">
        <v>5062.6229999999996</v>
      </c>
      <c r="I88" s="9">
        <v>176420.1</v>
      </c>
      <c r="J88" s="9">
        <v>1657200.7220000001</v>
      </c>
      <c r="K88" s="8" t="s">
        <v>239</v>
      </c>
      <c r="L88" s="8" t="s">
        <v>288</v>
      </c>
      <c r="M88" s="8" t="s">
        <v>59</v>
      </c>
    </row>
    <row r="89" spans="1:13" x14ac:dyDescent="0.25">
      <c r="A89" s="8" t="s">
        <v>461</v>
      </c>
      <c r="B89" s="8" t="s">
        <v>32</v>
      </c>
      <c r="C89" s="8" t="s">
        <v>182</v>
      </c>
      <c r="D89" s="8" t="s">
        <v>462</v>
      </c>
      <c r="E89" s="8" t="s">
        <v>463</v>
      </c>
      <c r="F89" s="8" t="s">
        <v>34</v>
      </c>
      <c r="G89" s="8" t="s">
        <v>35</v>
      </c>
      <c r="H89" s="9">
        <v>10861.861999999999</v>
      </c>
      <c r="I89" s="9">
        <v>176426.69200000001</v>
      </c>
      <c r="J89" s="9">
        <v>1657760.3149999999</v>
      </c>
      <c r="K89" s="8" t="s">
        <v>239</v>
      </c>
      <c r="L89" s="8" t="s">
        <v>290</v>
      </c>
      <c r="M89" s="8" t="s">
        <v>59</v>
      </c>
    </row>
    <row r="90" spans="1:13" x14ac:dyDescent="0.25">
      <c r="A90" s="8" t="s">
        <v>464</v>
      </c>
      <c r="B90" s="8" t="s">
        <v>32</v>
      </c>
      <c r="C90" s="8" t="s">
        <v>188</v>
      </c>
      <c r="D90" s="8" t="s">
        <v>465</v>
      </c>
      <c r="E90" s="8" t="s">
        <v>466</v>
      </c>
      <c r="F90" s="8" t="s">
        <v>34</v>
      </c>
      <c r="G90" s="8" t="s">
        <v>35</v>
      </c>
      <c r="H90" s="9">
        <v>7009.8220000000001</v>
      </c>
      <c r="I90" s="9">
        <v>176427.77</v>
      </c>
      <c r="J90" s="9">
        <v>1657409.2520000001</v>
      </c>
      <c r="K90" s="8" t="s">
        <v>239</v>
      </c>
      <c r="L90" s="8" t="s">
        <v>288</v>
      </c>
      <c r="M90" s="8" t="s">
        <v>88</v>
      </c>
    </row>
    <row r="91" spans="1:13" x14ac:dyDescent="0.25">
      <c r="A91" s="8" t="s">
        <v>467</v>
      </c>
      <c r="B91" s="8" t="s">
        <v>32</v>
      </c>
      <c r="C91" s="8" t="s">
        <v>221</v>
      </c>
      <c r="D91" s="8" t="s">
        <v>468</v>
      </c>
      <c r="E91" s="8" t="s">
        <v>469</v>
      </c>
      <c r="F91" s="8" t="s">
        <v>34</v>
      </c>
      <c r="G91" s="8" t="s">
        <v>35</v>
      </c>
      <c r="H91" s="9">
        <v>10015.525</v>
      </c>
      <c r="I91" s="9">
        <v>176427.921</v>
      </c>
      <c r="J91" s="9">
        <v>1657561.9920000001</v>
      </c>
      <c r="K91" s="8" t="s">
        <v>239</v>
      </c>
      <c r="L91" s="8" t="s">
        <v>290</v>
      </c>
      <c r="M91" s="8" t="s">
        <v>42</v>
      </c>
    </row>
    <row r="92" spans="1:13" x14ac:dyDescent="0.25">
      <c r="A92" s="8" t="s">
        <v>470</v>
      </c>
      <c r="B92" s="8" t="s">
        <v>32</v>
      </c>
      <c r="C92" s="8" t="s">
        <v>175</v>
      </c>
      <c r="D92" s="8" t="s">
        <v>429</v>
      </c>
      <c r="E92" s="8" t="s">
        <v>430</v>
      </c>
      <c r="F92" s="8" t="s">
        <v>34</v>
      </c>
      <c r="G92" s="8" t="s">
        <v>35</v>
      </c>
      <c r="H92" s="9">
        <v>7967.2129999999997</v>
      </c>
      <c r="I92" s="9">
        <v>176442.43599999999</v>
      </c>
      <c r="J92" s="9">
        <v>1657361.172</v>
      </c>
      <c r="K92" s="8" t="s">
        <v>239</v>
      </c>
      <c r="L92" s="8" t="s">
        <v>288</v>
      </c>
      <c r="M92" s="8" t="s">
        <v>90</v>
      </c>
    </row>
    <row r="93" spans="1:13" x14ac:dyDescent="0.25">
      <c r="A93" s="8" t="s">
        <v>471</v>
      </c>
      <c r="B93" s="8" t="s">
        <v>32</v>
      </c>
      <c r="C93" s="8" t="s">
        <v>189</v>
      </c>
      <c r="D93" s="8" t="s">
        <v>394</v>
      </c>
      <c r="E93" s="8" t="s">
        <v>392</v>
      </c>
      <c r="F93" s="8" t="s">
        <v>32</v>
      </c>
      <c r="G93" s="8" t="s">
        <v>32</v>
      </c>
      <c r="H93" s="9">
        <v>3277.7559999999999</v>
      </c>
      <c r="I93" s="9">
        <v>176442.49299999999</v>
      </c>
      <c r="J93" s="9">
        <v>1657674.5209999999</v>
      </c>
      <c r="K93" s="8" t="s">
        <v>239</v>
      </c>
      <c r="L93" s="8" t="s">
        <v>290</v>
      </c>
      <c r="M93" s="8" t="s">
        <v>44</v>
      </c>
    </row>
    <row r="94" spans="1:13" x14ac:dyDescent="0.25">
      <c r="A94" s="8" t="s">
        <v>472</v>
      </c>
      <c r="B94" s="8" t="s">
        <v>32</v>
      </c>
      <c r="C94" s="8" t="s">
        <v>124</v>
      </c>
      <c r="D94" s="8" t="s">
        <v>473</v>
      </c>
      <c r="E94" s="8" t="s">
        <v>474</v>
      </c>
      <c r="F94" s="8" t="s">
        <v>34</v>
      </c>
      <c r="G94" s="8" t="s">
        <v>50</v>
      </c>
      <c r="H94" s="9">
        <v>7079.2780000000002</v>
      </c>
      <c r="I94" s="9">
        <v>176446.106</v>
      </c>
      <c r="J94" s="9">
        <v>1657210.6510000001</v>
      </c>
      <c r="K94" s="8" t="s">
        <v>239</v>
      </c>
      <c r="L94" s="8" t="s">
        <v>288</v>
      </c>
      <c r="M94" s="8" t="s">
        <v>59</v>
      </c>
    </row>
    <row r="95" spans="1:13" x14ac:dyDescent="0.25">
      <c r="A95" s="8" t="s">
        <v>475</v>
      </c>
      <c r="B95" s="8" t="s">
        <v>32</v>
      </c>
      <c r="C95" s="8" t="s">
        <v>215</v>
      </c>
      <c r="D95" s="8" t="s">
        <v>97</v>
      </c>
      <c r="E95" s="8" t="s">
        <v>392</v>
      </c>
      <c r="F95" s="8" t="s">
        <v>32</v>
      </c>
      <c r="G95" s="8" t="s">
        <v>32</v>
      </c>
      <c r="H95" s="9">
        <v>8051.5550000000003</v>
      </c>
      <c r="I95" s="9">
        <v>176447.992</v>
      </c>
      <c r="J95" s="9">
        <v>1657669.852</v>
      </c>
      <c r="K95" s="8" t="s">
        <v>239</v>
      </c>
      <c r="L95" s="8" t="s">
        <v>290</v>
      </c>
      <c r="M95" s="8" t="s">
        <v>44</v>
      </c>
    </row>
    <row r="96" spans="1:13" x14ac:dyDescent="0.25">
      <c r="A96" s="8" t="s">
        <v>476</v>
      </c>
      <c r="B96" s="8" t="s">
        <v>32</v>
      </c>
      <c r="C96" s="8" t="s">
        <v>76</v>
      </c>
      <c r="D96" s="8" t="s">
        <v>394</v>
      </c>
      <c r="E96" s="8" t="s">
        <v>392</v>
      </c>
      <c r="F96" s="8" t="s">
        <v>32</v>
      </c>
      <c r="G96" s="8" t="s">
        <v>32</v>
      </c>
      <c r="H96" s="9">
        <v>3292.2260000000001</v>
      </c>
      <c r="I96" s="9">
        <v>176456.179</v>
      </c>
      <c r="J96" s="9">
        <v>1657668.2860000001</v>
      </c>
      <c r="K96" s="8" t="s">
        <v>239</v>
      </c>
      <c r="L96" s="8" t="s">
        <v>290</v>
      </c>
      <c r="M96" s="8" t="s">
        <v>44</v>
      </c>
    </row>
    <row r="97" spans="1:13" x14ac:dyDescent="0.25">
      <c r="A97" s="8" t="s">
        <v>477</v>
      </c>
      <c r="B97" s="8" t="s">
        <v>32</v>
      </c>
      <c r="C97" s="8" t="s">
        <v>120</v>
      </c>
      <c r="D97" s="8" t="s">
        <v>419</v>
      </c>
      <c r="E97" s="8" t="s">
        <v>420</v>
      </c>
      <c r="F97" s="8" t="s">
        <v>34</v>
      </c>
      <c r="G97" s="8" t="s">
        <v>35</v>
      </c>
      <c r="H97" s="9">
        <v>1687.9870000000001</v>
      </c>
      <c r="I97" s="9">
        <v>176459.084</v>
      </c>
      <c r="J97" s="9">
        <v>1657601.709</v>
      </c>
      <c r="K97" s="8" t="s">
        <v>239</v>
      </c>
      <c r="L97" s="8" t="s">
        <v>290</v>
      </c>
      <c r="M97" s="8" t="s">
        <v>44</v>
      </c>
    </row>
    <row r="98" spans="1:13" x14ac:dyDescent="0.25">
      <c r="A98" s="8" t="s">
        <v>478</v>
      </c>
      <c r="B98" s="8" t="s">
        <v>32</v>
      </c>
      <c r="C98" s="8" t="s">
        <v>41</v>
      </c>
      <c r="D98" s="8" t="s">
        <v>479</v>
      </c>
      <c r="E98" s="8" t="s">
        <v>480</v>
      </c>
      <c r="F98" s="8" t="s">
        <v>34</v>
      </c>
      <c r="G98" s="8" t="s">
        <v>35</v>
      </c>
      <c r="H98" s="9">
        <v>2463.1480000000001</v>
      </c>
      <c r="I98" s="9">
        <v>176479.61</v>
      </c>
      <c r="J98" s="9">
        <v>1657888.027</v>
      </c>
      <c r="K98" s="8" t="s">
        <v>239</v>
      </c>
      <c r="L98" s="8" t="s">
        <v>290</v>
      </c>
      <c r="M98" s="8" t="s">
        <v>90</v>
      </c>
    </row>
    <row r="99" spans="1:13" x14ac:dyDescent="0.25">
      <c r="A99" s="8" t="s">
        <v>481</v>
      </c>
      <c r="B99" s="8" t="s">
        <v>32</v>
      </c>
      <c r="C99" s="8" t="s">
        <v>204</v>
      </c>
      <c r="D99" s="8" t="s">
        <v>482</v>
      </c>
      <c r="E99" s="8" t="s">
        <v>483</v>
      </c>
      <c r="F99" s="8" t="s">
        <v>34</v>
      </c>
      <c r="G99" s="8" t="s">
        <v>35</v>
      </c>
      <c r="H99" s="9">
        <v>2700.4929999999999</v>
      </c>
      <c r="I99" s="9">
        <v>176489.465</v>
      </c>
      <c r="J99" s="9">
        <v>1657391.5819999999</v>
      </c>
      <c r="K99" s="8" t="s">
        <v>239</v>
      </c>
      <c r="L99" s="8" t="s">
        <v>288</v>
      </c>
      <c r="M99" s="8" t="s">
        <v>90</v>
      </c>
    </row>
    <row r="100" spans="1:13" x14ac:dyDescent="0.25">
      <c r="A100" s="8" t="s">
        <v>484</v>
      </c>
      <c r="B100" s="8" t="s">
        <v>32</v>
      </c>
      <c r="C100" s="8" t="s">
        <v>202</v>
      </c>
      <c r="D100" s="8" t="s">
        <v>485</v>
      </c>
      <c r="E100" s="8" t="s">
        <v>486</v>
      </c>
      <c r="F100" s="8" t="s">
        <v>34</v>
      </c>
      <c r="G100" s="8" t="s">
        <v>50</v>
      </c>
      <c r="H100" s="9">
        <v>1995.1110000000001</v>
      </c>
      <c r="I100" s="9">
        <v>176490.30499999999</v>
      </c>
      <c r="J100" s="9">
        <v>1657818.9310000001</v>
      </c>
      <c r="K100" s="8" t="s">
        <v>239</v>
      </c>
      <c r="L100" s="8" t="s">
        <v>290</v>
      </c>
      <c r="M100" s="8" t="s">
        <v>90</v>
      </c>
    </row>
    <row r="101" spans="1:13" x14ac:dyDescent="0.25">
      <c r="A101" s="8" t="s">
        <v>487</v>
      </c>
      <c r="B101" s="8" t="s">
        <v>32</v>
      </c>
      <c r="C101" s="8" t="s">
        <v>162</v>
      </c>
      <c r="D101" s="8" t="s">
        <v>465</v>
      </c>
      <c r="E101" s="8" t="s">
        <v>466</v>
      </c>
      <c r="F101" s="8" t="s">
        <v>34</v>
      </c>
      <c r="G101" s="8" t="s">
        <v>35</v>
      </c>
      <c r="H101" s="9">
        <v>10195.923000000001</v>
      </c>
      <c r="I101" s="9">
        <v>176516.87599999999</v>
      </c>
      <c r="J101" s="9">
        <v>1657228.8940000001</v>
      </c>
      <c r="K101" s="8" t="s">
        <v>239</v>
      </c>
      <c r="L101" s="8" t="s">
        <v>488</v>
      </c>
      <c r="M101" s="8" t="s">
        <v>54</v>
      </c>
    </row>
    <row r="102" spans="1:13" x14ac:dyDescent="0.25">
      <c r="A102" s="8" t="s">
        <v>489</v>
      </c>
      <c r="B102" s="8" t="s">
        <v>32</v>
      </c>
      <c r="C102" s="8" t="s">
        <v>82</v>
      </c>
      <c r="D102" s="8" t="s">
        <v>490</v>
      </c>
      <c r="E102" s="8" t="s">
        <v>491</v>
      </c>
      <c r="F102" s="8" t="s">
        <v>34</v>
      </c>
      <c r="G102" s="8" t="s">
        <v>35</v>
      </c>
      <c r="H102" s="9">
        <v>10490.874</v>
      </c>
      <c r="I102" s="9">
        <v>176519.571</v>
      </c>
      <c r="J102" s="9">
        <v>1657413.0090000001</v>
      </c>
      <c r="K102" s="8" t="s">
        <v>239</v>
      </c>
      <c r="L102" s="8" t="s">
        <v>488</v>
      </c>
      <c r="M102" s="8" t="s">
        <v>56</v>
      </c>
    </row>
    <row r="103" spans="1:13" x14ac:dyDescent="0.25">
      <c r="A103" s="8" t="s">
        <v>492</v>
      </c>
      <c r="B103" s="8" t="s">
        <v>32</v>
      </c>
      <c r="C103" s="8" t="s">
        <v>214</v>
      </c>
      <c r="D103" s="8" t="s">
        <v>426</v>
      </c>
      <c r="E103" s="8" t="s">
        <v>427</v>
      </c>
      <c r="F103" s="8" t="s">
        <v>34</v>
      </c>
      <c r="G103" s="8" t="s">
        <v>50</v>
      </c>
      <c r="H103" s="9">
        <v>4714.8100000000004</v>
      </c>
      <c r="I103" s="9">
        <v>176521.31299999999</v>
      </c>
      <c r="J103" s="9">
        <v>1657584.2350000001</v>
      </c>
      <c r="K103" s="8" t="s">
        <v>239</v>
      </c>
      <c r="L103" s="8" t="s">
        <v>493</v>
      </c>
      <c r="M103" s="8" t="s">
        <v>51</v>
      </c>
    </row>
    <row r="104" spans="1:13" x14ac:dyDescent="0.25">
      <c r="A104" s="8" t="s">
        <v>494</v>
      </c>
      <c r="B104" s="8" t="s">
        <v>32</v>
      </c>
      <c r="C104" s="8" t="s">
        <v>157</v>
      </c>
      <c r="D104" s="8" t="s">
        <v>495</v>
      </c>
      <c r="E104" s="8" t="s">
        <v>496</v>
      </c>
      <c r="F104" s="8" t="s">
        <v>34</v>
      </c>
      <c r="G104" s="8" t="s">
        <v>35</v>
      </c>
      <c r="H104" s="9">
        <v>3650.232</v>
      </c>
      <c r="I104" s="9">
        <v>176526.38399999999</v>
      </c>
      <c r="J104" s="9">
        <v>1657471.7490000001</v>
      </c>
      <c r="K104" s="8" t="s">
        <v>239</v>
      </c>
      <c r="L104" s="8" t="s">
        <v>488</v>
      </c>
      <c r="M104" s="8" t="s">
        <v>56</v>
      </c>
    </row>
    <row r="105" spans="1:13" x14ac:dyDescent="0.25">
      <c r="A105" s="8" t="s">
        <v>497</v>
      </c>
      <c r="B105" s="8" t="s">
        <v>32</v>
      </c>
      <c r="C105" s="8" t="s">
        <v>154</v>
      </c>
      <c r="D105" s="8" t="s">
        <v>498</v>
      </c>
      <c r="E105" s="8" t="s">
        <v>499</v>
      </c>
      <c r="F105" s="8" t="s">
        <v>34</v>
      </c>
      <c r="G105" s="8" t="s">
        <v>50</v>
      </c>
      <c r="H105" s="9">
        <v>2887.7649999999999</v>
      </c>
      <c r="I105" s="9">
        <v>176532.565</v>
      </c>
      <c r="J105" s="9">
        <v>1657491.9129999999</v>
      </c>
      <c r="K105" s="8" t="s">
        <v>239</v>
      </c>
      <c r="L105" s="8" t="s">
        <v>488</v>
      </c>
      <c r="M105" s="8" t="s">
        <v>56</v>
      </c>
    </row>
    <row r="106" spans="1:13" x14ac:dyDescent="0.25">
      <c r="A106" s="8" t="s">
        <v>500</v>
      </c>
      <c r="B106" s="8" t="s">
        <v>32</v>
      </c>
      <c r="C106" s="8" t="s">
        <v>112</v>
      </c>
      <c r="D106" s="8" t="s">
        <v>501</v>
      </c>
      <c r="E106" s="8" t="s">
        <v>502</v>
      </c>
      <c r="F106" s="8" t="s">
        <v>34</v>
      </c>
      <c r="G106" s="8" t="s">
        <v>50</v>
      </c>
      <c r="H106" s="9">
        <v>2037.6510000000001</v>
      </c>
      <c r="I106" s="9">
        <v>176536.27</v>
      </c>
      <c r="J106" s="9">
        <v>1657291.1680000001</v>
      </c>
      <c r="K106" s="8" t="s">
        <v>239</v>
      </c>
      <c r="L106" s="8" t="s">
        <v>488</v>
      </c>
      <c r="M106" s="8" t="s">
        <v>54</v>
      </c>
    </row>
    <row r="107" spans="1:13" x14ac:dyDescent="0.25">
      <c r="A107" s="8" t="s">
        <v>503</v>
      </c>
      <c r="B107" s="8" t="s">
        <v>32</v>
      </c>
      <c r="C107" s="8" t="s">
        <v>115</v>
      </c>
      <c r="D107" s="8" t="s">
        <v>504</v>
      </c>
      <c r="E107" s="8" t="s">
        <v>505</v>
      </c>
      <c r="F107" s="8" t="s">
        <v>34</v>
      </c>
      <c r="G107" s="8" t="s">
        <v>35</v>
      </c>
      <c r="H107" s="9">
        <v>1600.999</v>
      </c>
      <c r="I107" s="9">
        <v>176540.36900000001</v>
      </c>
      <c r="J107" s="9">
        <v>1657273.2350000001</v>
      </c>
      <c r="K107" s="8" t="s">
        <v>239</v>
      </c>
      <c r="L107" s="8" t="s">
        <v>488</v>
      </c>
      <c r="M107" s="8" t="s">
        <v>54</v>
      </c>
    </row>
    <row r="108" spans="1:13" x14ac:dyDescent="0.25">
      <c r="A108" s="8" t="s">
        <v>506</v>
      </c>
      <c r="B108" s="8" t="s">
        <v>32</v>
      </c>
      <c r="C108" s="8" t="s">
        <v>125</v>
      </c>
      <c r="D108" s="8" t="s">
        <v>507</v>
      </c>
      <c r="E108" s="8" t="s">
        <v>508</v>
      </c>
      <c r="F108" s="8" t="s">
        <v>34</v>
      </c>
      <c r="G108" s="8" t="s">
        <v>35</v>
      </c>
      <c r="H108" s="9">
        <v>618.41</v>
      </c>
      <c r="I108" s="9">
        <v>176540.77299999999</v>
      </c>
      <c r="J108" s="9">
        <v>1657894.791</v>
      </c>
      <c r="K108" s="8" t="s">
        <v>239</v>
      </c>
      <c r="L108" s="8" t="s">
        <v>493</v>
      </c>
      <c r="M108" s="8" t="s">
        <v>48</v>
      </c>
    </row>
    <row r="109" spans="1:13" x14ac:dyDescent="0.25">
      <c r="A109" s="8" t="s">
        <v>509</v>
      </c>
      <c r="B109" s="8" t="s">
        <v>32</v>
      </c>
      <c r="C109" s="8" t="s">
        <v>105</v>
      </c>
      <c r="D109" s="8" t="s">
        <v>510</v>
      </c>
      <c r="E109" s="8" t="s">
        <v>511</v>
      </c>
      <c r="F109" s="8" t="s">
        <v>34</v>
      </c>
      <c r="G109" s="8" t="s">
        <v>50</v>
      </c>
      <c r="H109" s="9">
        <v>580.37800000000004</v>
      </c>
      <c r="I109" s="9">
        <v>176543.36799999999</v>
      </c>
      <c r="J109" s="9">
        <v>1657914.352</v>
      </c>
      <c r="K109" s="8" t="s">
        <v>239</v>
      </c>
      <c r="L109" s="8" t="s">
        <v>493</v>
      </c>
      <c r="M109" s="8" t="s">
        <v>56</v>
      </c>
    </row>
    <row r="110" spans="1:13" x14ac:dyDescent="0.25">
      <c r="A110" s="8" t="s">
        <v>512</v>
      </c>
      <c r="B110" s="8" t="s">
        <v>32</v>
      </c>
      <c r="C110" s="8" t="s">
        <v>133</v>
      </c>
      <c r="D110" s="8" t="s">
        <v>513</v>
      </c>
      <c r="E110" s="8" t="s">
        <v>439</v>
      </c>
      <c r="F110" s="8" t="s">
        <v>34</v>
      </c>
      <c r="G110" s="8" t="s">
        <v>35</v>
      </c>
      <c r="H110" s="9">
        <v>7688.4319999999998</v>
      </c>
      <c r="I110" s="9">
        <v>176547.397</v>
      </c>
      <c r="J110" s="9">
        <v>1657601.8459999999</v>
      </c>
      <c r="K110" s="8" t="s">
        <v>239</v>
      </c>
      <c r="L110" s="8" t="s">
        <v>493</v>
      </c>
      <c r="M110" s="8" t="s">
        <v>103</v>
      </c>
    </row>
    <row r="111" spans="1:13" x14ac:dyDescent="0.25">
      <c r="A111" s="8" t="s">
        <v>514</v>
      </c>
      <c r="B111" s="8" t="s">
        <v>32</v>
      </c>
      <c r="C111" s="8" t="s">
        <v>129</v>
      </c>
      <c r="D111" s="8" t="s">
        <v>515</v>
      </c>
      <c r="E111" s="8" t="s">
        <v>516</v>
      </c>
      <c r="F111" s="8" t="s">
        <v>34</v>
      </c>
      <c r="G111" s="8" t="s">
        <v>35</v>
      </c>
      <c r="H111" s="9">
        <v>4213.4189999999999</v>
      </c>
      <c r="I111" s="9">
        <v>176557.82</v>
      </c>
      <c r="J111" s="9">
        <v>1657683.8910000001</v>
      </c>
      <c r="K111" s="8" t="s">
        <v>239</v>
      </c>
      <c r="L111" s="8" t="s">
        <v>493</v>
      </c>
      <c r="M111" s="8" t="s">
        <v>103</v>
      </c>
    </row>
    <row r="112" spans="1:13" x14ac:dyDescent="0.25">
      <c r="A112" s="8" t="s">
        <v>517</v>
      </c>
      <c r="B112" s="8" t="s">
        <v>32</v>
      </c>
      <c r="C112" s="8" t="s">
        <v>107</v>
      </c>
      <c r="D112" s="8" t="s">
        <v>518</v>
      </c>
      <c r="E112" s="8" t="s">
        <v>519</v>
      </c>
      <c r="F112" s="8" t="s">
        <v>140</v>
      </c>
      <c r="G112" s="8" t="s">
        <v>50</v>
      </c>
      <c r="H112" s="9">
        <v>3593.0210000000002</v>
      </c>
      <c r="I112" s="9">
        <v>176563.55100000001</v>
      </c>
      <c r="J112" s="9">
        <v>1657364.976</v>
      </c>
      <c r="K112" s="8" t="s">
        <v>239</v>
      </c>
      <c r="L112" s="8" t="s">
        <v>488</v>
      </c>
      <c r="M112" s="8" t="s">
        <v>48</v>
      </c>
    </row>
    <row r="113" spans="1:13" x14ac:dyDescent="0.25">
      <c r="A113" s="8" t="s">
        <v>520</v>
      </c>
      <c r="B113" s="8" t="s">
        <v>32</v>
      </c>
      <c r="C113" s="8" t="s">
        <v>100</v>
      </c>
      <c r="D113" s="8" t="s">
        <v>521</v>
      </c>
      <c r="E113" s="8" t="s">
        <v>522</v>
      </c>
      <c r="F113" s="8" t="s">
        <v>34</v>
      </c>
      <c r="G113" s="8" t="s">
        <v>35</v>
      </c>
      <c r="H113" s="9">
        <v>1943.8520000000001</v>
      </c>
      <c r="I113" s="9">
        <v>176563.74</v>
      </c>
      <c r="J113" s="9">
        <v>1657282.679</v>
      </c>
      <c r="K113" s="8" t="s">
        <v>239</v>
      </c>
      <c r="L113" s="8" t="s">
        <v>488</v>
      </c>
      <c r="M113" s="8" t="s">
        <v>54</v>
      </c>
    </row>
    <row r="114" spans="1:13" x14ac:dyDescent="0.25">
      <c r="A114" s="8" t="s">
        <v>523</v>
      </c>
      <c r="B114" s="8" t="s">
        <v>32</v>
      </c>
      <c r="C114" s="8" t="s">
        <v>98</v>
      </c>
      <c r="D114" s="8" t="s">
        <v>524</v>
      </c>
      <c r="E114" s="8" t="s">
        <v>525</v>
      </c>
      <c r="F114" s="8" t="s">
        <v>140</v>
      </c>
      <c r="G114" s="8" t="s">
        <v>35</v>
      </c>
      <c r="H114" s="9">
        <v>2251.5619999999999</v>
      </c>
      <c r="I114" s="9">
        <v>176569.43100000001</v>
      </c>
      <c r="J114" s="9">
        <v>1657295.753</v>
      </c>
      <c r="K114" s="8" t="s">
        <v>239</v>
      </c>
      <c r="L114" s="8" t="s">
        <v>488</v>
      </c>
      <c r="M114" s="8" t="s">
        <v>54</v>
      </c>
    </row>
    <row r="115" spans="1:13" x14ac:dyDescent="0.25">
      <c r="A115" s="8" t="s">
        <v>526</v>
      </c>
      <c r="B115" s="8" t="s">
        <v>32</v>
      </c>
      <c r="C115" s="8" t="s">
        <v>89</v>
      </c>
      <c r="D115" s="8" t="s">
        <v>97</v>
      </c>
      <c r="E115" s="8" t="s">
        <v>392</v>
      </c>
      <c r="F115" s="8" t="s">
        <v>32</v>
      </c>
      <c r="G115" s="8" t="s">
        <v>32</v>
      </c>
      <c r="H115" s="9">
        <v>56.466000000000001</v>
      </c>
      <c r="I115" s="9">
        <v>176572.769</v>
      </c>
      <c r="J115" s="9">
        <v>1657929.8049999999</v>
      </c>
      <c r="K115" s="8" t="s">
        <v>239</v>
      </c>
      <c r="L115" s="8" t="s">
        <v>493</v>
      </c>
      <c r="M115" s="8" t="s">
        <v>56</v>
      </c>
    </row>
    <row r="116" spans="1:13" x14ac:dyDescent="0.25">
      <c r="A116" s="8" t="s">
        <v>527</v>
      </c>
      <c r="B116" s="8" t="s">
        <v>32</v>
      </c>
      <c r="C116" s="8" t="s">
        <v>52</v>
      </c>
      <c r="D116" s="8" t="s">
        <v>455</v>
      </c>
      <c r="E116" s="8" t="s">
        <v>528</v>
      </c>
      <c r="F116" s="8" t="s">
        <v>34</v>
      </c>
      <c r="G116" s="8" t="s">
        <v>35</v>
      </c>
      <c r="H116" s="9">
        <v>10797.444</v>
      </c>
      <c r="I116" s="9">
        <v>176576.42</v>
      </c>
      <c r="J116" s="9">
        <v>1657632.959</v>
      </c>
      <c r="K116" s="8" t="s">
        <v>239</v>
      </c>
      <c r="L116" s="8" t="s">
        <v>493</v>
      </c>
      <c r="M116" s="8" t="s">
        <v>103</v>
      </c>
    </row>
    <row r="117" spans="1:13" x14ac:dyDescent="0.25">
      <c r="A117" s="8" t="s">
        <v>529</v>
      </c>
      <c r="B117" s="8" t="s">
        <v>32</v>
      </c>
      <c r="C117" s="8" t="s">
        <v>118</v>
      </c>
      <c r="D117" s="8" t="s">
        <v>530</v>
      </c>
      <c r="E117" s="8" t="s">
        <v>531</v>
      </c>
      <c r="F117" s="8" t="s">
        <v>34</v>
      </c>
      <c r="G117" s="8" t="s">
        <v>35</v>
      </c>
      <c r="H117" s="9">
        <v>4737.7910000000002</v>
      </c>
      <c r="I117" s="9">
        <v>176577.14600000001</v>
      </c>
      <c r="J117" s="9">
        <v>1657709.986</v>
      </c>
      <c r="K117" s="8" t="s">
        <v>239</v>
      </c>
      <c r="L117" s="8" t="s">
        <v>493</v>
      </c>
      <c r="M117" s="8" t="s">
        <v>54</v>
      </c>
    </row>
    <row r="118" spans="1:13" x14ac:dyDescent="0.25">
      <c r="A118" s="8" t="s">
        <v>532</v>
      </c>
      <c r="B118" s="8" t="s">
        <v>32</v>
      </c>
      <c r="C118" s="8" t="s">
        <v>106</v>
      </c>
      <c r="D118" s="8" t="s">
        <v>533</v>
      </c>
      <c r="E118" s="8" t="s">
        <v>534</v>
      </c>
      <c r="F118" s="8" t="s">
        <v>34</v>
      </c>
      <c r="G118" s="8" t="s">
        <v>35</v>
      </c>
      <c r="H118" s="9">
        <v>3517.1089999999999</v>
      </c>
      <c r="I118" s="9">
        <v>176586.71400000001</v>
      </c>
      <c r="J118" s="9">
        <v>1657308.6850000001</v>
      </c>
      <c r="K118" s="8" t="s">
        <v>239</v>
      </c>
      <c r="L118" s="8" t="s">
        <v>488</v>
      </c>
      <c r="M118" s="8" t="s">
        <v>48</v>
      </c>
    </row>
    <row r="119" spans="1:13" x14ac:dyDescent="0.25">
      <c r="A119" s="8" t="s">
        <v>535</v>
      </c>
      <c r="B119" s="8" t="s">
        <v>32</v>
      </c>
      <c r="C119" s="8" t="s">
        <v>119</v>
      </c>
      <c r="D119" s="8" t="s">
        <v>536</v>
      </c>
      <c r="E119" s="8" t="s">
        <v>537</v>
      </c>
      <c r="F119" s="8" t="s">
        <v>34</v>
      </c>
      <c r="G119" s="8" t="s">
        <v>50</v>
      </c>
      <c r="H119" s="9">
        <v>1122.3779999999999</v>
      </c>
      <c r="I119" s="9">
        <v>176603.45</v>
      </c>
      <c r="J119" s="9">
        <v>1657413.557</v>
      </c>
      <c r="K119" s="8" t="s">
        <v>239</v>
      </c>
      <c r="L119" s="8" t="s">
        <v>488</v>
      </c>
      <c r="M119" s="8" t="s">
        <v>62</v>
      </c>
    </row>
    <row r="120" spans="1:13" x14ac:dyDescent="0.25">
      <c r="A120" s="8" t="s">
        <v>538</v>
      </c>
      <c r="B120" s="8" t="s">
        <v>32</v>
      </c>
      <c r="C120" s="8" t="s">
        <v>138</v>
      </c>
      <c r="D120" s="8" t="s">
        <v>539</v>
      </c>
      <c r="E120" s="8" t="s">
        <v>540</v>
      </c>
      <c r="F120" s="8" t="s">
        <v>34</v>
      </c>
      <c r="G120" s="8" t="s">
        <v>35</v>
      </c>
      <c r="H120" s="9">
        <v>7008.9279999999999</v>
      </c>
      <c r="I120" s="9">
        <v>176611.158</v>
      </c>
      <c r="J120" s="9">
        <v>1657473.1540000001</v>
      </c>
      <c r="K120" s="8" t="s">
        <v>239</v>
      </c>
      <c r="L120" s="8" t="s">
        <v>488</v>
      </c>
      <c r="M120" s="8" t="s">
        <v>62</v>
      </c>
    </row>
    <row r="121" spans="1:13" x14ac:dyDescent="0.25">
      <c r="A121" s="8" t="s">
        <v>541</v>
      </c>
      <c r="B121" s="8" t="s">
        <v>32</v>
      </c>
      <c r="C121" s="8" t="s">
        <v>156</v>
      </c>
      <c r="D121" s="8" t="s">
        <v>542</v>
      </c>
      <c r="E121" s="8" t="s">
        <v>543</v>
      </c>
      <c r="F121" s="8" t="s">
        <v>34</v>
      </c>
      <c r="G121" s="8" t="s">
        <v>35</v>
      </c>
      <c r="H121" s="9">
        <v>6504.3379999999997</v>
      </c>
      <c r="I121" s="9">
        <v>176614.39</v>
      </c>
      <c r="J121" s="9">
        <v>1657741.0630000001</v>
      </c>
      <c r="K121" s="8" t="s">
        <v>239</v>
      </c>
      <c r="L121" s="8" t="s">
        <v>493</v>
      </c>
      <c r="M121" s="8" t="s">
        <v>111</v>
      </c>
    </row>
    <row r="122" spans="1:13" x14ac:dyDescent="0.25">
      <c r="A122" s="8" t="s">
        <v>544</v>
      </c>
      <c r="B122" s="8" t="s">
        <v>32</v>
      </c>
      <c r="C122" s="8" t="s">
        <v>67</v>
      </c>
      <c r="D122" s="8" t="s">
        <v>545</v>
      </c>
      <c r="E122" s="8" t="s">
        <v>508</v>
      </c>
      <c r="F122" s="8" t="s">
        <v>34</v>
      </c>
      <c r="G122" s="8" t="s">
        <v>35</v>
      </c>
      <c r="H122" s="9">
        <v>2443.2179999999998</v>
      </c>
      <c r="I122" s="9">
        <v>176614.63800000001</v>
      </c>
      <c r="J122" s="9">
        <v>1657869.172</v>
      </c>
      <c r="K122" s="8" t="s">
        <v>239</v>
      </c>
      <c r="L122" s="8" t="s">
        <v>493</v>
      </c>
      <c r="M122" s="8" t="s">
        <v>117</v>
      </c>
    </row>
    <row r="123" spans="1:13" x14ac:dyDescent="0.25">
      <c r="A123" s="8" t="s">
        <v>546</v>
      </c>
      <c r="B123" s="8" t="s">
        <v>32</v>
      </c>
      <c r="C123" s="8" t="s">
        <v>164</v>
      </c>
      <c r="D123" s="8" t="s">
        <v>462</v>
      </c>
      <c r="E123" s="8" t="s">
        <v>463</v>
      </c>
      <c r="F123" s="8" t="s">
        <v>34</v>
      </c>
      <c r="G123" s="8" t="s">
        <v>35</v>
      </c>
      <c r="H123" s="9">
        <v>4450.1540000000005</v>
      </c>
      <c r="I123" s="9">
        <v>176615.72399999999</v>
      </c>
      <c r="J123" s="9">
        <v>1657782.75</v>
      </c>
      <c r="K123" s="8" t="s">
        <v>239</v>
      </c>
      <c r="L123" s="8" t="s">
        <v>493</v>
      </c>
      <c r="M123" s="8" t="s">
        <v>111</v>
      </c>
    </row>
    <row r="124" spans="1:13" x14ac:dyDescent="0.25">
      <c r="A124" s="8" t="s">
        <v>547</v>
      </c>
      <c r="B124" s="8" t="s">
        <v>32</v>
      </c>
      <c r="C124" s="8" t="s">
        <v>33</v>
      </c>
      <c r="D124" s="8" t="s">
        <v>485</v>
      </c>
      <c r="E124" s="8" t="s">
        <v>486</v>
      </c>
      <c r="F124" s="8" t="s">
        <v>34</v>
      </c>
      <c r="G124" s="8" t="s">
        <v>50</v>
      </c>
      <c r="H124" s="9">
        <v>2056.7130000000002</v>
      </c>
      <c r="I124" s="9">
        <v>176615.96400000001</v>
      </c>
      <c r="J124" s="9">
        <v>1657847.6540000001</v>
      </c>
      <c r="K124" s="8" t="s">
        <v>239</v>
      </c>
      <c r="L124" s="8" t="s">
        <v>493</v>
      </c>
      <c r="M124" s="8" t="s">
        <v>117</v>
      </c>
    </row>
    <row r="125" spans="1:13" x14ac:dyDescent="0.25">
      <c r="A125" s="8" t="s">
        <v>548</v>
      </c>
      <c r="B125" s="8" t="s">
        <v>32</v>
      </c>
      <c r="C125" s="8" t="s">
        <v>87</v>
      </c>
      <c r="D125" s="8" t="s">
        <v>507</v>
      </c>
      <c r="E125" s="8" t="s">
        <v>508</v>
      </c>
      <c r="F125" s="8" t="s">
        <v>34</v>
      </c>
      <c r="G125" s="8" t="s">
        <v>35</v>
      </c>
      <c r="H125" s="9">
        <v>2563.6390000000001</v>
      </c>
      <c r="I125" s="9">
        <v>176616.30100000001</v>
      </c>
      <c r="J125" s="9">
        <v>1657898.2830000001</v>
      </c>
      <c r="K125" s="8" t="s">
        <v>239</v>
      </c>
      <c r="L125" s="8" t="s">
        <v>493</v>
      </c>
      <c r="M125" s="8" t="s">
        <v>117</v>
      </c>
    </row>
    <row r="126" spans="1:13" x14ac:dyDescent="0.25">
      <c r="A126" s="8" t="s">
        <v>549</v>
      </c>
      <c r="B126" s="8" t="s">
        <v>32</v>
      </c>
      <c r="C126" s="8" t="s">
        <v>167</v>
      </c>
      <c r="D126" s="8" t="s">
        <v>419</v>
      </c>
      <c r="E126" s="8" t="s">
        <v>420</v>
      </c>
      <c r="F126" s="8" t="s">
        <v>34</v>
      </c>
      <c r="G126" s="8" t="s">
        <v>35</v>
      </c>
      <c r="H126" s="9">
        <v>4178.674</v>
      </c>
      <c r="I126" s="9">
        <v>176618.913</v>
      </c>
      <c r="J126" s="9">
        <v>1657488.9069999999</v>
      </c>
      <c r="K126" s="8" t="s">
        <v>239</v>
      </c>
      <c r="L126" s="8" t="s">
        <v>488</v>
      </c>
      <c r="M126" s="8" t="s">
        <v>62</v>
      </c>
    </row>
    <row r="127" spans="1:13" x14ac:dyDescent="0.25">
      <c r="A127" s="8" t="s">
        <v>550</v>
      </c>
      <c r="B127" s="8" t="s">
        <v>32</v>
      </c>
      <c r="C127" s="8" t="s">
        <v>99</v>
      </c>
      <c r="D127" s="8" t="s">
        <v>551</v>
      </c>
      <c r="E127" s="8" t="s">
        <v>511</v>
      </c>
      <c r="F127" s="8" t="s">
        <v>34</v>
      </c>
      <c r="G127" s="8" t="s">
        <v>50</v>
      </c>
      <c r="H127" s="9">
        <v>1269.2739999999999</v>
      </c>
      <c r="I127" s="9">
        <v>176619.83799999999</v>
      </c>
      <c r="J127" s="9">
        <v>1657922.3770000001</v>
      </c>
      <c r="K127" s="8" t="s">
        <v>239</v>
      </c>
      <c r="L127" s="8" t="s">
        <v>493</v>
      </c>
      <c r="M127" s="8" t="s">
        <v>62</v>
      </c>
    </row>
    <row r="128" spans="1:13" x14ac:dyDescent="0.25">
      <c r="A128" s="8" t="s">
        <v>552</v>
      </c>
      <c r="B128" s="8" t="s">
        <v>32</v>
      </c>
      <c r="C128" s="8" t="s">
        <v>39</v>
      </c>
      <c r="D128" s="8" t="s">
        <v>97</v>
      </c>
      <c r="E128" s="8" t="s">
        <v>392</v>
      </c>
      <c r="F128" s="8" t="s">
        <v>32</v>
      </c>
      <c r="G128" s="8" t="s">
        <v>32</v>
      </c>
      <c r="H128" s="9">
        <v>559.92700000000002</v>
      </c>
      <c r="I128" s="9">
        <v>176624.092</v>
      </c>
      <c r="J128" s="9">
        <v>1657933.2520000001</v>
      </c>
      <c r="K128" s="8" t="s">
        <v>239</v>
      </c>
      <c r="L128" s="8" t="s">
        <v>493</v>
      </c>
      <c r="M128" s="8" t="s">
        <v>62</v>
      </c>
    </row>
    <row r="129" spans="1:13" x14ac:dyDescent="0.25">
      <c r="A129" s="8" t="s">
        <v>553</v>
      </c>
      <c r="B129" s="8" t="s">
        <v>32</v>
      </c>
      <c r="C129" s="8" t="s">
        <v>169</v>
      </c>
      <c r="D129" s="8" t="s">
        <v>554</v>
      </c>
      <c r="E129" s="8" t="s">
        <v>555</v>
      </c>
      <c r="F129" s="8" t="s">
        <v>34</v>
      </c>
      <c r="G129" s="8" t="s">
        <v>50</v>
      </c>
      <c r="H129" s="9">
        <v>5206.5619999999999</v>
      </c>
      <c r="I129" s="9">
        <v>176625.99400000001</v>
      </c>
      <c r="J129" s="9">
        <v>1657502.0049999999</v>
      </c>
      <c r="K129" s="8" t="s">
        <v>239</v>
      </c>
      <c r="L129" s="8" t="s">
        <v>493</v>
      </c>
      <c r="M129" s="8" t="s">
        <v>66</v>
      </c>
    </row>
    <row r="130" spans="1:13" x14ac:dyDescent="0.25">
      <c r="A130" s="8" t="s">
        <v>556</v>
      </c>
      <c r="B130" s="8" t="s">
        <v>32</v>
      </c>
      <c r="C130" s="8" t="s">
        <v>186</v>
      </c>
      <c r="D130" s="8" t="s">
        <v>278</v>
      </c>
      <c r="E130" s="8" t="s">
        <v>279</v>
      </c>
      <c r="F130" s="8" t="s">
        <v>34</v>
      </c>
      <c r="G130" s="8" t="s">
        <v>50</v>
      </c>
      <c r="H130" s="9">
        <v>2193.9870000000001</v>
      </c>
      <c r="I130" s="9">
        <v>176627.136</v>
      </c>
      <c r="J130" s="9">
        <v>1657311.277</v>
      </c>
      <c r="K130" s="8" t="s">
        <v>239</v>
      </c>
      <c r="L130" s="8" t="s">
        <v>488</v>
      </c>
      <c r="M130" s="8" t="s">
        <v>117</v>
      </c>
    </row>
    <row r="131" spans="1:13" x14ac:dyDescent="0.25">
      <c r="A131" s="8" t="s">
        <v>557</v>
      </c>
      <c r="B131" s="8" t="s">
        <v>32</v>
      </c>
      <c r="C131" s="8" t="s">
        <v>229</v>
      </c>
      <c r="D131" s="8" t="s">
        <v>558</v>
      </c>
      <c r="E131" s="8" t="s">
        <v>238</v>
      </c>
      <c r="F131" s="8" t="s">
        <v>34</v>
      </c>
      <c r="G131" s="8" t="s">
        <v>35</v>
      </c>
      <c r="H131" s="9">
        <v>2739.8510000000001</v>
      </c>
      <c r="I131" s="9">
        <v>176632.098</v>
      </c>
      <c r="J131" s="9">
        <v>1657380.9</v>
      </c>
      <c r="K131" s="8" t="s">
        <v>239</v>
      </c>
      <c r="L131" s="8" t="s">
        <v>488</v>
      </c>
      <c r="M131" s="8" t="s">
        <v>117</v>
      </c>
    </row>
    <row r="132" spans="1:13" x14ac:dyDescent="0.25">
      <c r="A132" s="8" t="s">
        <v>559</v>
      </c>
      <c r="B132" s="8" t="s">
        <v>32</v>
      </c>
      <c r="C132" s="8" t="s">
        <v>139</v>
      </c>
      <c r="D132" s="8" t="s">
        <v>272</v>
      </c>
      <c r="E132" s="8" t="s">
        <v>273</v>
      </c>
      <c r="F132" s="8" t="s">
        <v>34</v>
      </c>
      <c r="G132" s="8" t="s">
        <v>35</v>
      </c>
      <c r="H132" s="9">
        <v>6696.1409999999996</v>
      </c>
      <c r="I132" s="9">
        <v>176644.61499999999</v>
      </c>
      <c r="J132" s="9">
        <v>1657819.9080000001</v>
      </c>
      <c r="K132" s="8" t="s">
        <v>239</v>
      </c>
      <c r="L132" s="8" t="s">
        <v>493</v>
      </c>
      <c r="M132" s="8" t="s">
        <v>117</v>
      </c>
    </row>
    <row r="133" spans="1:13" x14ac:dyDescent="0.25">
      <c r="A133" s="8" t="s">
        <v>560</v>
      </c>
      <c r="B133" s="8" t="s">
        <v>32</v>
      </c>
      <c r="C133" s="8" t="s">
        <v>210</v>
      </c>
      <c r="D133" s="8" t="s">
        <v>561</v>
      </c>
      <c r="E133" s="8" t="s">
        <v>238</v>
      </c>
      <c r="F133" s="8" t="s">
        <v>34</v>
      </c>
      <c r="G133" s="8" t="s">
        <v>35</v>
      </c>
      <c r="H133" s="9">
        <v>2695.19</v>
      </c>
      <c r="I133" s="9">
        <v>176663.076</v>
      </c>
      <c r="J133" s="9">
        <v>1657402.179</v>
      </c>
      <c r="K133" s="8" t="s">
        <v>239</v>
      </c>
      <c r="L133" s="8" t="s">
        <v>488</v>
      </c>
      <c r="M133" s="8" t="s">
        <v>62</v>
      </c>
    </row>
    <row r="134" spans="1:13" x14ac:dyDescent="0.25">
      <c r="A134" s="8" t="s">
        <v>562</v>
      </c>
      <c r="B134" s="8" t="s">
        <v>32</v>
      </c>
      <c r="C134" s="8" t="s">
        <v>232</v>
      </c>
      <c r="D134" s="8" t="s">
        <v>563</v>
      </c>
      <c r="E134" s="8" t="s">
        <v>564</v>
      </c>
      <c r="F134" s="8" t="s">
        <v>34</v>
      </c>
      <c r="G134" s="8" t="s">
        <v>50</v>
      </c>
      <c r="H134" s="9">
        <v>2672.0709999999999</v>
      </c>
      <c r="I134" s="9">
        <v>176668.717</v>
      </c>
      <c r="J134" s="9">
        <v>1657420.4010000001</v>
      </c>
      <c r="K134" s="8" t="s">
        <v>239</v>
      </c>
      <c r="L134" s="8" t="s">
        <v>488</v>
      </c>
      <c r="M134" s="8" t="s">
        <v>62</v>
      </c>
    </row>
    <row r="135" spans="1:13" x14ac:dyDescent="0.25">
      <c r="A135" s="8" t="s">
        <v>565</v>
      </c>
      <c r="B135" s="8" t="s">
        <v>32</v>
      </c>
      <c r="C135" s="8" t="s">
        <v>211</v>
      </c>
      <c r="D135" s="8" t="s">
        <v>566</v>
      </c>
      <c r="E135" s="8" t="s">
        <v>567</v>
      </c>
      <c r="F135" s="8" t="s">
        <v>34</v>
      </c>
      <c r="G135" s="8" t="s">
        <v>35</v>
      </c>
      <c r="H135" s="9">
        <v>6680.41</v>
      </c>
      <c r="I135" s="9">
        <v>176672.81</v>
      </c>
      <c r="J135" s="9">
        <v>1657645.085</v>
      </c>
      <c r="K135" s="8" t="s">
        <v>239</v>
      </c>
      <c r="L135" s="8" t="s">
        <v>493</v>
      </c>
      <c r="M135" s="8" t="s">
        <v>109</v>
      </c>
    </row>
    <row r="136" spans="1:13" x14ac:dyDescent="0.25">
      <c r="A136" s="8" t="s">
        <v>568</v>
      </c>
      <c r="B136" s="8" t="s">
        <v>32</v>
      </c>
      <c r="C136" s="8" t="s">
        <v>234</v>
      </c>
      <c r="D136" s="8" t="s">
        <v>272</v>
      </c>
      <c r="E136" s="8" t="s">
        <v>273</v>
      </c>
      <c r="F136" s="8" t="s">
        <v>34</v>
      </c>
      <c r="G136" s="8" t="s">
        <v>35</v>
      </c>
      <c r="H136" s="9">
        <v>2183.357</v>
      </c>
      <c r="I136" s="9">
        <v>176675.18599999999</v>
      </c>
      <c r="J136" s="9">
        <v>1657900.25</v>
      </c>
      <c r="K136" s="8" t="s">
        <v>239</v>
      </c>
      <c r="L136" s="8" t="s">
        <v>493</v>
      </c>
      <c r="M136" s="8" t="s">
        <v>62</v>
      </c>
    </row>
    <row r="137" spans="1:13" x14ac:dyDescent="0.25">
      <c r="A137" s="8" t="s">
        <v>569</v>
      </c>
      <c r="B137" s="8" t="s">
        <v>32</v>
      </c>
      <c r="C137" s="8" t="s">
        <v>227</v>
      </c>
      <c r="D137" s="8" t="s">
        <v>570</v>
      </c>
      <c r="E137" s="8" t="s">
        <v>571</v>
      </c>
      <c r="F137" s="8" t="s">
        <v>34</v>
      </c>
      <c r="G137" s="8" t="s">
        <v>50</v>
      </c>
      <c r="H137" s="9">
        <v>1272.1420000000001</v>
      </c>
      <c r="I137" s="9">
        <v>176677.79300000001</v>
      </c>
      <c r="J137" s="9">
        <v>1657375.3940000001</v>
      </c>
      <c r="K137" s="8" t="s">
        <v>239</v>
      </c>
      <c r="L137" s="8" t="s">
        <v>488</v>
      </c>
      <c r="M137" s="8" t="s">
        <v>117</v>
      </c>
    </row>
    <row r="138" spans="1:13" x14ac:dyDescent="0.25">
      <c r="A138" s="8" t="s">
        <v>572</v>
      </c>
      <c r="B138" s="8" t="s">
        <v>32</v>
      </c>
      <c r="C138" s="8" t="s">
        <v>163</v>
      </c>
      <c r="D138" s="8" t="s">
        <v>97</v>
      </c>
      <c r="E138" s="8" t="s">
        <v>392</v>
      </c>
      <c r="F138" s="8" t="s">
        <v>32</v>
      </c>
      <c r="G138" s="8" t="s">
        <v>32</v>
      </c>
      <c r="H138" s="9">
        <v>17.074000000000002</v>
      </c>
      <c r="I138" s="9">
        <v>176678.98300000001</v>
      </c>
      <c r="J138" s="9">
        <v>1657936.8489999999</v>
      </c>
      <c r="K138" s="8" t="s">
        <v>239</v>
      </c>
      <c r="L138" s="8" t="s">
        <v>493</v>
      </c>
      <c r="M138" s="8" t="s">
        <v>62</v>
      </c>
    </row>
    <row r="139" spans="1:13" x14ac:dyDescent="0.25">
      <c r="A139" s="8" t="s">
        <v>573</v>
      </c>
      <c r="B139" s="8" t="s">
        <v>32</v>
      </c>
      <c r="C139" s="8" t="s">
        <v>83</v>
      </c>
      <c r="D139" s="8" t="s">
        <v>574</v>
      </c>
      <c r="E139" s="8" t="s">
        <v>575</v>
      </c>
      <c r="F139" s="8" t="s">
        <v>140</v>
      </c>
      <c r="G139" s="8" t="s">
        <v>35</v>
      </c>
      <c r="H139" s="9">
        <v>2362.5729999999999</v>
      </c>
      <c r="I139" s="9">
        <v>176684.21599999999</v>
      </c>
      <c r="J139" s="9">
        <v>1657489.9069999999</v>
      </c>
      <c r="K139" s="8" t="s">
        <v>239</v>
      </c>
      <c r="L139" s="8" t="s">
        <v>488</v>
      </c>
      <c r="M139" s="8" t="s">
        <v>62</v>
      </c>
    </row>
    <row r="140" spans="1:13" x14ac:dyDescent="0.25">
      <c r="A140" s="8" t="s">
        <v>576</v>
      </c>
      <c r="B140" s="8" t="s">
        <v>32</v>
      </c>
      <c r="C140" s="8" t="s">
        <v>148</v>
      </c>
      <c r="D140" s="8" t="s">
        <v>577</v>
      </c>
      <c r="E140" s="8" t="s">
        <v>578</v>
      </c>
      <c r="F140" s="8" t="s">
        <v>34</v>
      </c>
      <c r="G140" s="8" t="s">
        <v>50</v>
      </c>
      <c r="H140" s="9">
        <v>805.00099999999998</v>
      </c>
      <c r="I140" s="9">
        <v>176690.33600000001</v>
      </c>
      <c r="J140" s="9">
        <v>1657856.6040000001</v>
      </c>
      <c r="K140" s="8" t="s">
        <v>239</v>
      </c>
      <c r="L140" s="8" t="s">
        <v>493</v>
      </c>
      <c r="M140" s="8" t="s">
        <v>117</v>
      </c>
    </row>
    <row r="141" spans="1:13" x14ac:dyDescent="0.25">
      <c r="A141" s="8" t="s">
        <v>579</v>
      </c>
      <c r="B141" s="8" t="s">
        <v>32</v>
      </c>
      <c r="C141" s="8" t="s">
        <v>73</v>
      </c>
      <c r="D141" s="8" t="s">
        <v>47</v>
      </c>
      <c r="E141" s="8" t="s">
        <v>580</v>
      </c>
      <c r="F141" s="8" t="s">
        <v>34</v>
      </c>
      <c r="G141" s="8" t="s">
        <v>50</v>
      </c>
      <c r="H141" s="9">
        <v>5443.1769999999997</v>
      </c>
      <c r="I141" s="9">
        <v>176704.85</v>
      </c>
      <c r="J141" s="9">
        <v>1657505.2169999999</v>
      </c>
      <c r="K141" s="8" t="s">
        <v>239</v>
      </c>
      <c r="L141" s="8" t="s">
        <v>493</v>
      </c>
      <c r="M141" s="8" t="s">
        <v>71</v>
      </c>
    </row>
    <row r="142" spans="1:13" x14ac:dyDescent="0.25">
      <c r="A142" s="8" t="s">
        <v>581</v>
      </c>
      <c r="B142" s="8" t="s">
        <v>32</v>
      </c>
      <c r="C142" s="8" t="s">
        <v>93</v>
      </c>
      <c r="D142" s="8" t="s">
        <v>292</v>
      </c>
      <c r="E142" s="8" t="s">
        <v>293</v>
      </c>
      <c r="F142" s="8" t="s">
        <v>34</v>
      </c>
      <c r="G142" s="8" t="s">
        <v>35</v>
      </c>
      <c r="H142" s="9">
        <v>7572.3789999999999</v>
      </c>
      <c r="I142" s="9">
        <v>176705.8</v>
      </c>
      <c r="J142" s="9">
        <v>1657707.781</v>
      </c>
      <c r="K142" s="8" t="s">
        <v>239</v>
      </c>
      <c r="L142" s="8" t="s">
        <v>493</v>
      </c>
      <c r="M142" s="8" t="s">
        <v>36</v>
      </c>
    </row>
    <row r="143" spans="1:13" x14ac:dyDescent="0.25">
      <c r="A143" s="8" t="s">
        <v>582</v>
      </c>
      <c r="B143" s="8" t="s">
        <v>32</v>
      </c>
      <c r="C143" s="8" t="s">
        <v>94</v>
      </c>
      <c r="D143" s="8" t="s">
        <v>438</v>
      </c>
      <c r="E143" s="8" t="s">
        <v>439</v>
      </c>
      <c r="F143" s="8" t="s">
        <v>34</v>
      </c>
      <c r="G143" s="8" t="s">
        <v>35</v>
      </c>
      <c r="H143" s="9">
        <v>661.58199999999999</v>
      </c>
      <c r="I143" s="9">
        <v>176719.092</v>
      </c>
      <c r="J143" s="9">
        <v>1657805.838</v>
      </c>
      <c r="K143" s="8" t="s">
        <v>239</v>
      </c>
      <c r="L143" s="8" t="s">
        <v>493</v>
      </c>
      <c r="M143" s="8" t="s">
        <v>74</v>
      </c>
    </row>
    <row r="144" spans="1:13" x14ac:dyDescent="0.25">
      <c r="A144" s="8" t="s">
        <v>583</v>
      </c>
      <c r="B144" s="8" t="s">
        <v>32</v>
      </c>
      <c r="C144" s="8" t="s">
        <v>149</v>
      </c>
      <c r="D144" s="8" t="s">
        <v>97</v>
      </c>
      <c r="E144" s="8" t="s">
        <v>392</v>
      </c>
      <c r="F144" s="8" t="s">
        <v>32</v>
      </c>
      <c r="G144" s="8" t="s">
        <v>32</v>
      </c>
      <c r="H144" s="9">
        <v>1211.288</v>
      </c>
      <c r="I144" s="9">
        <v>176734.55499999999</v>
      </c>
      <c r="J144" s="9">
        <v>1657818.138</v>
      </c>
      <c r="K144" s="8" t="s">
        <v>239</v>
      </c>
      <c r="L144" s="8" t="s">
        <v>493</v>
      </c>
      <c r="M144" s="8" t="s">
        <v>74</v>
      </c>
    </row>
    <row r="145" spans="1:13" x14ac:dyDescent="0.25">
      <c r="A145" s="8" t="s">
        <v>584</v>
      </c>
      <c r="B145" s="8" t="s">
        <v>32</v>
      </c>
      <c r="C145" s="8" t="s">
        <v>128</v>
      </c>
      <c r="D145" s="8" t="s">
        <v>585</v>
      </c>
      <c r="E145" s="8" t="s">
        <v>586</v>
      </c>
      <c r="F145" s="8" t="s">
        <v>34</v>
      </c>
      <c r="G145" s="8" t="s">
        <v>50</v>
      </c>
      <c r="H145" s="9">
        <v>1369.6079999999999</v>
      </c>
      <c r="I145" s="9">
        <v>176741.48499999999</v>
      </c>
      <c r="J145" s="9">
        <v>1657780.3810000001</v>
      </c>
      <c r="K145" s="8" t="s">
        <v>239</v>
      </c>
      <c r="L145" s="8" t="s">
        <v>493</v>
      </c>
      <c r="M145" s="8" t="s">
        <v>36</v>
      </c>
    </row>
    <row r="146" spans="1:13" x14ac:dyDescent="0.25">
      <c r="A146" s="8" t="s">
        <v>587</v>
      </c>
      <c r="B146" s="8" t="s">
        <v>32</v>
      </c>
      <c r="C146" s="8" t="s">
        <v>60</v>
      </c>
      <c r="D146" s="8" t="s">
        <v>272</v>
      </c>
      <c r="E146" s="8" t="s">
        <v>273</v>
      </c>
      <c r="F146" s="8" t="s">
        <v>34</v>
      </c>
      <c r="G146" s="8" t="s">
        <v>35</v>
      </c>
      <c r="H146" s="9">
        <v>7368.723</v>
      </c>
      <c r="I146" s="9">
        <v>176758.91699999999</v>
      </c>
      <c r="J146" s="9">
        <v>1657900.916</v>
      </c>
      <c r="K146" s="8" t="s">
        <v>239</v>
      </c>
      <c r="L146" s="8" t="s">
        <v>493</v>
      </c>
      <c r="M146" s="8" t="s">
        <v>136</v>
      </c>
    </row>
    <row r="147" spans="1:13" x14ac:dyDescent="0.25">
      <c r="A147" s="8" t="s">
        <v>588</v>
      </c>
      <c r="B147" s="8" t="s">
        <v>32</v>
      </c>
      <c r="C147" s="8" t="s">
        <v>79</v>
      </c>
      <c r="D147" s="8" t="s">
        <v>589</v>
      </c>
      <c r="E147" s="8" t="s">
        <v>590</v>
      </c>
      <c r="F147" s="8" t="s">
        <v>34</v>
      </c>
      <c r="G147" s="8" t="s">
        <v>35</v>
      </c>
      <c r="H147" s="9">
        <v>1594.3219999999999</v>
      </c>
      <c r="I147" s="9">
        <v>176764.72700000001</v>
      </c>
      <c r="J147" s="9">
        <v>1657935.477</v>
      </c>
      <c r="K147" s="8" t="s">
        <v>239</v>
      </c>
      <c r="L147" s="8" t="s">
        <v>493</v>
      </c>
      <c r="M147" s="8" t="s">
        <v>136</v>
      </c>
    </row>
    <row r="148" spans="1:13" x14ac:dyDescent="0.25">
      <c r="A148" s="8" t="s">
        <v>591</v>
      </c>
      <c r="B148" s="8" t="s">
        <v>32</v>
      </c>
      <c r="C148" s="8" t="s">
        <v>224</v>
      </c>
      <c r="D148" s="8" t="s">
        <v>97</v>
      </c>
      <c r="E148" s="8" t="s">
        <v>392</v>
      </c>
      <c r="F148" s="8" t="s">
        <v>32</v>
      </c>
      <c r="G148" s="8" t="s">
        <v>32</v>
      </c>
      <c r="H148" s="9">
        <v>990.87199999999996</v>
      </c>
      <c r="I148" s="9">
        <v>176765.30300000001</v>
      </c>
      <c r="J148" s="9">
        <v>1657945.3259999999</v>
      </c>
      <c r="K148" s="8" t="s">
        <v>239</v>
      </c>
      <c r="L148" s="8" t="s">
        <v>493</v>
      </c>
      <c r="M148" s="8" t="s">
        <v>136</v>
      </c>
    </row>
    <row r="149" spans="1:13" x14ac:dyDescent="0.25">
      <c r="A149" s="8" t="s">
        <v>592</v>
      </c>
      <c r="B149" s="8" t="s">
        <v>32</v>
      </c>
      <c r="C149" s="8" t="s">
        <v>122</v>
      </c>
      <c r="D149" s="8" t="s">
        <v>490</v>
      </c>
      <c r="E149" s="8" t="s">
        <v>491</v>
      </c>
      <c r="F149" s="8" t="s">
        <v>140</v>
      </c>
      <c r="G149" s="8" t="s">
        <v>35</v>
      </c>
      <c r="H149" s="9">
        <v>562.93399999999997</v>
      </c>
      <c r="I149" s="9">
        <v>176768.13500000001</v>
      </c>
      <c r="J149" s="9">
        <v>1657449.6580000001</v>
      </c>
      <c r="K149" s="8" t="s">
        <v>239</v>
      </c>
      <c r="L149" s="8" t="s">
        <v>488</v>
      </c>
      <c r="M149" s="8" t="s">
        <v>136</v>
      </c>
    </row>
    <row r="150" spans="1:13" x14ac:dyDescent="0.25">
      <c r="A150" s="8" t="s">
        <v>593</v>
      </c>
      <c r="B150" s="8" t="s">
        <v>32</v>
      </c>
      <c r="C150" s="8" t="s">
        <v>55</v>
      </c>
      <c r="D150" s="8" t="s">
        <v>594</v>
      </c>
      <c r="E150" s="8" t="s">
        <v>238</v>
      </c>
      <c r="F150" s="8" t="s">
        <v>34</v>
      </c>
      <c r="G150" s="8" t="s">
        <v>35</v>
      </c>
      <c r="H150" s="9">
        <v>8819.8240000000005</v>
      </c>
      <c r="I150" s="9">
        <v>176768.75399999999</v>
      </c>
      <c r="J150" s="9">
        <v>1657524.7109999999</v>
      </c>
      <c r="K150" s="8" t="s">
        <v>239</v>
      </c>
      <c r="L150" s="8" t="s">
        <v>493</v>
      </c>
      <c r="M150" s="8" t="s">
        <v>71</v>
      </c>
    </row>
    <row r="151" spans="1:13" x14ac:dyDescent="0.25">
      <c r="A151" s="8" t="s">
        <v>595</v>
      </c>
      <c r="B151" s="8" t="s">
        <v>32</v>
      </c>
      <c r="C151" s="8" t="s">
        <v>235</v>
      </c>
      <c r="D151" s="8" t="s">
        <v>438</v>
      </c>
      <c r="E151" s="8" t="s">
        <v>439</v>
      </c>
      <c r="F151" s="8" t="s">
        <v>34</v>
      </c>
      <c r="G151" s="8" t="s">
        <v>35</v>
      </c>
      <c r="H151" s="9">
        <v>3232.3209999999999</v>
      </c>
      <c r="I151" s="9">
        <v>176772.79800000001</v>
      </c>
      <c r="J151" s="9">
        <v>1657797.6939999999</v>
      </c>
      <c r="K151" s="8" t="s">
        <v>239</v>
      </c>
      <c r="L151" s="8" t="s">
        <v>493</v>
      </c>
      <c r="M151" s="8" t="s">
        <v>36</v>
      </c>
    </row>
    <row r="152" spans="1:13" x14ac:dyDescent="0.25">
      <c r="A152" s="8" t="s">
        <v>596</v>
      </c>
      <c r="B152" s="8" t="s">
        <v>32</v>
      </c>
      <c r="C152" s="8" t="s">
        <v>61</v>
      </c>
      <c r="D152" s="8" t="s">
        <v>597</v>
      </c>
      <c r="E152" s="8" t="s">
        <v>598</v>
      </c>
      <c r="F152" s="8" t="s">
        <v>34</v>
      </c>
      <c r="G152" s="8" t="s">
        <v>35</v>
      </c>
      <c r="H152" s="9">
        <v>6044.8360000000002</v>
      </c>
      <c r="I152" s="9">
        <v>176778.14600000001</v>
      </c>
      <c r="J152" s="9">
        <v>1657734.912</v>
      </c>
      <c r="K152" s="8" t="s">
        <v>239</v>
      </c>
      <c r="L152" s="8" t="s">
        <v>493</v>
      </c>
      <c r="M152" s="8" t="s">
        <v>36</v>
      </c>
    </row>
    <row r="153" spans="1:13" x14ac:dyDescent="0.25">
      <c r="A153" s="8" t="s">
        <v>599</v>
      </c>
      <c r="B153" s="8" t="s">
        <v>32</v>
      </c>
      <c r="C153" s="8" t="s">
        <v>46</v>
      </c>
      <c r="D153" s="8" t="s">
        <v>600</v>
      </c>
      <c r="E153" s="8" t="s">
        <v>238</v>
      </c>
      <c r="F153" s="8" t="s">
        <v>34</v>
      </c>
      <c r="G153" s="8" t="s">
        <v>35</v>
      </c>
      <c r="H153" s="9">
        <v>16755.266</v>
      </c>
      <c r="I153" s="9">
        <v>176780.00399999999</v>
      </c>
      <c r="J153" s="9">
        <v>1657635.4140000001</v>
      </c>
      <c r="K153" s="8" t="s">
        <v>239</v>
      </c>
      <c r="L153" s="8" t="s">
        <v>493</v>
      </c>
      <c r="M153" s="8" t="s">
        <v>38</v>
      </c>
    </row>
    <row r="154" spans="1:13" x14ac:dyDescent="0.25">
      <c r="A154" s="8" t="s">
        <v>601</v>
      </c>
      <c r="B154" s="8" t="s">
        <v>32</v>
      </c>
      <c r="C154" s="8" t="s">
        <v>72</v>
      </c>
      <c r="D154" s="8" t="s">
        <v>577</v>
      </c>
      <c r="E154" s="8" t="s">
        <v>578</v>
      </c>
      <c r="F154" s="8" t="s">
        <v>34</v>
      </c>
      <c r="G154" s="8" t="s">
        <v>50</v>
      </c>
      <c r="H154" s="9">
        <v>3221.913</v>
      </c>
      <c r="I154" s="9">
        <v>176786.818</v>
      </c>
      <c r="J154" s="9">
        <v>1657861.2879999999</v>
      </c>
      <c r="K154" s="8" t="s">
        <v>239</v>
      </c>
      <c r="L154" s="8" t="s">
        <v>493</v>
      </c>
      <c r="M154" s="8" t="s">
        <v>74</v>
      </c>
    </row>
    <row r="155" spans="1:13" x14ac:dyDescent="0.25">
      <c r="A155" s="8" t="s">
        <v>602</v>
      </c>
      <c r="B155" s="8" t="s">
        <v>32</v>
      </c>
      <c r="C155" s="8" t="s">
        <v>58</v>
      </c>
      <c r="D155" s="8" t="s">
        <v>603</v>
      </c>
      <c r="E155" s="8" t="s">
        <v>604</v>
      </c>
      <c r="F155" s="8" t="s">
        <v>34</v>
      </c>
      <c r="G155" s="8" t="s">
        <v>35</v>
      </c>
      <c r="H155" s="9">
        <v>3294.2379999999998</v>
      </c>
      <c r="I155" s="9">
        <v>176788.217</v>
      </c>
      <c r="J155" s="9">
        <v>1657835.112</v>
      </c>
      <c r="K155" s="8" t="s">
        <v>239</v>
      </c>
      <c r="L155" s="8" t="s">
        <v>493</v>
      </c>
      <c r="M155" s="8" t="s">
        <v>74</v>
      </c>
    </row>
    <row r="156" spans="1:13" x14ac:dyDescent="0.25">
      <c r="A156" s="8" t="s">
        <v>605</v>
      </c>
      <c r="B156" s="8" t="s">
        <v>32</v>
      </c>
      <c r="C156" s="8" t="s">
        <v>131</v>
      </c>
      <c r="D156" s="8" t="s">
        <v>606</v>
      </c>
      <c r="E156" s="8" t="s">
        <v>238</v>
      </c>
      <c r="F156" s="8" t="s">
        <v>34</v>
      </c>
      <c r="G156" s="8" t="s">
        <v>35</v>
      </c>
      <c r="H156" s="9">
        <v>252.19200000000001</v>
      </c>
      <c r="I156" s="9">
        <v>176788.77900000001</v>
      </c>
      <c r="J156" s="9">
        <v>1657759.936</v>
      </c>
      <c r="K156" s="8" t="s">
        <v>239</v>
      </c>
      <c r="L156" s="8" t="s">
        <v>493</v>
      </c>
      <c r="M156" s="8" t="s">
        <v>36</v>
      </c>
    </row>
    <row r="157" spans="1:13" x14ac:dyDescent="0.25">
      <c r="A157" s="8" t="s">
        <v>607</v>
      </c>
      <c r="B157" s="8" t="s">
        <v>32</v>
      </c>
      <c r="C157" s="8" t="s">
        <v>80</v>
      </c>
      <c r="D157" s="8" t="s">
        <v>608</v>
      </c>
      <c r="E157" s="8" t="s">
        <v>392</v>
      </c>
      <c r="F157" s="8" t="s">
        <v>32</v>
      </c>
      <c r="G157" s="8" t="s">
        <v>32</v>
      </c>
      <c r="H157" s="9">
        <v>4889.268</v>
      </c>
      <c r="I157" s="9">
        <v>176819.37100000001</v>
      </c>
      <c r="J157" s="9">
        <v>1657609.2350000001</v>
      </c>
      <c r="K157" s="8" t="s">
        <v>239</v>
      </c>
      <c r="L157" s="8" t="s">
        <v>493</v>
      </c>
      <c r="M157" s="8" t="s">
        <v>77</v>
      </c>
    </row>
    <row r="158" spans="1:13" x14ac:dyDescent="0.25">
      <c r="A158" s="8" t="s">
        <v>609</v>
      </c>
      <c r="B158" s="8" t="s">
        <v>32</v>
      </c>
      <c r="C158" s="8" t="s">
        <v>45</v>
      </c>
      <c r="D158" s="8" t="s">
        <v>218</v>
      </c>
      <c r="E158" s="8" t="s">
        <v>238</v>
      </c>
      <c r="F158" s="8" t="s">
        <v>34</v>
      </c>
      <c r="G158" s="8" t="s">
        <v>35</v>
      </c>
      <c r="H158" s="9">
        <v>1298.9390000000001</v>
      </c>
      <c r="I158" s="9">
        <v>176830.62899999999</v>
      </c>
      <c r="J158" s="9">
        <v>1657541.7660000001</v>
      </c>
      <c r="K158" s="8" t="s">
        <v>239</v>
      </c>
      <c r="L158" s="8" t="s">
        <v>493</v>
      </c>
      <c r="M158" s="8" t="s">
        <v>176</v>
      </c>
    </row>
    <row r="159" spans="1:13" x14ac:dyDescent="0.25">
      <c r="A159" s="8" t="s">
        <v>610</v>
      </c>
      <c r="B159" s="8" t="s">
        <v>32</v>
      </c>
      <c r="C159" s="8" t="s">
        <v>65</v>
      </c>
      <c r="D159" s="8" t="s">
        <v>462</v>
      </c>
      <c r="E159" s="8" t="s">
        <v>463</v>
      </c>
      <c r="F159" s="8" t="s">
        <v>34</v>
      </c>
      <c r="G159" s="8" t="s">
        <v>35</v>
      </c>
      <c r="H159" s="9">
        <v>3495.7150000000001</v>
      </c>
      <c r="I159" s="9">
        <v>176831.03700000001</v>
      </c>
      <c r="J159" s="9">
        <v>1657763.1969999999</v>
      </c>
      <c r="K159" s="8" t="s">
        <v>239</v>
      </c>
      <c r="L159" s="8" t="s">
        <v>493</v>
      </c>
      <c r="M159" s="8" t="s">
        <v>207</v>
      </c>
    </row>
    <row r="160" spans="1:13" x14ac:dyDescent="0.25">
      <c r="A160" s="8" t="s">
        <v>611</v>
      </c>
      <c r="B160" s="8" t="s">
        <v>32</v>
      </c>
      <c r="C160" s="8" t="s">
        <v>152</v>
      </c>
      <c r="D160" s="8" t="s">
        <v>612</v>
      </c>
      <c r="E160" s="8" t="s">
        <v>613</v>
      </c>
      <c r="F160" s="8" t="s">
        <v>34</v>
      </c>
      <c r="G160" s="8" t="s">
        <v>35</v>
      </c>
      <c r="H160" s="9">
        <v>1124.73</v>
      </c>
      <c r="I160" s="9">
        <v>176842.74100000001</v>
      </c>
      <c r="J160" s="9">
        <v>1657935.6780000001</v>
      </c>
      <c r="K160" s="8" t="s">
        <v>239</v>
      </c>
      <c r="L160" s="8" t="s">
        <v>493</v>
      </c>
      <c r="M160" s="8" t="s">
        <v>40</v>
      </c>
    </row>
    <row r="161" spans="1:13" x14ac:dyDescent="0.25">
      <c r="A161" s="8" t="s">
        <v>614</v>
      </c>
      <c r="B161" s="8" t="s">
        <v>32</v>
      </c>
      <c r="C161" s="8" t="s">
        <v>184</v>
      </c>
      <c r="D161" s="8" t="s">
        <v>615</v>
      </c>
      <c r="E161" s="8" t="s">
        <v>238</v>
      </c>
      <c r="F161" s="8" t="s">
        <v>34</v>
      </c>
      <c r="G161" s="8" t="s">
        <v>35</v>
      </c>
      <c r="H161" s="9">
        <v>2329.34</v>
      </c>
      <c r="I161" s="9">
        <v>176844.51</v>
      </c>
      <c r="J161" s="9">
        <v>1657903.1189999999</v>
      </c>
      <c r="K161" s="8" t="s">
        <v>239</v>
      </c>
      <c r="L161" s="8" t="s">
        <v>493</v>
      </c>
      <c r="M161" s="8" t="s">
        <v>40</v>
      </c>
    </row>
    <row r="162" spans="1:13" x14ac:dyDescent="0.25">
      <c r="A162" s="8" t="s">
        <v>616</v>
      </c>
      <c r="B162" s="8" t="s">
        <v>32</v>
      </c>
      <c r="C162" s="8" t="s">
        <v>123</v>
      </c>
      <c r="D162" s="8" t="s">
        <v>97</v>
      </c>
      <c r="E162" s="8" t="s">
        <v>392</v>
      </c>
      <c r="F162" s="8" t="s">
        <v>32</v>
      </c>
      <c r="G162" s="8" t="s">
        <v>32</v>
      </c>
      <c r="H162" s="9">
        <v>95.334000000000003</v>
      </c>
      <c r="I162" s="9">
        <v>176845.76500000001</v>
      </c>
      <c r="J162" s="9">
        <v>1657956.0970000001</v>
      </c>
      <c r="K162" s="8" t="s">
        <v>239</v>
      </c>
      <c r="L162" s="8" t="s">
        <v>493</v>
      </c>
      <c r="M162" s="8" t="s">
        <v>40</v>
      </c>
    </row>
    <row r="163" spans="1:13" x14ac:dyDescent="0.25">
      <c r="A163" s="8" t="s">
        <v>617</v>
      </c>
      <c r="B163" s="8" t="s">
        <v>32</v>
      </c>
      <c r="C163" s="8" t="s">
        <v>102</v>
      </c>
      <c r="D163" s="8" t="s">
        <v>618</v>
      </c>
      <c r="E163" s="8" t="s">
        <v>238</v>
      </c>
      <c r="F163" s="8" t="s">
        <v>34</v>
      </c>
      <c r="G163" s="8" t="s">
        <v>35</v>
      </c>
      <c r="H163" s="9">
        <v>869.80799999999999</v>
      </c>
      <c r="I163" s="9">
        <v>176857.14300000001</v>
      </c>
      <c r="J163" s="9">
        <v>1657732.882</v>
      </c>
      <c r="K163" s="8" t="s">
        <v>239</v>
      </c>
      <c r="L163" s="8" t="s">
        <v>493</v>
      </c>
      <c r="M163" s="8" t="s">
        <v>207</v>
      </c>
    </row>
    <row r="164" spans="1:13" x14ac:dyDescent="0.25">
      <c r="A164" s="8" t="s">
        <v>619</v>
      </c>
      <c r="B164" s="8" t="s">
        <v>32</v>
      </c>
      <c r="C164" s="8" t="s">
        <v>64</v>
      </c>
      <c r="D164" s="8" t="s">
        <v>394</v>
      </c>
      <c r="E164" s="8" t="s">
        <v>392</v>
      </c>
      <c r="F164" s="8" t="s">
        <v>32</v>
      </c>
      <c r="G164" s="8" t="s">
        <v>32</v>
      </c>
      <c r="H164" s="9">
        <v>164.36</v>
      </c>
      <c r="I164" s="9">
        <v>176858.73199999999</v>
      </c>
      <c r="J164" s="9">
        <v>1657947.4609999999</v>
      </c>
      <c r="K164" s="8" t="s">
        <v>239</v>
      </c>
      <c r="L164" s="8" t="s">
        <v>493</v>
      </c>
      <c r="M164" s="8" t="s">
        <v>40</v>
      </c>
    </row>
    <row r="165" spans="1:13" x14ac:dyDescent="0.25">
      <c r="A165" s="8" t="s">
        <v>620</v>
      </c>
      <c r="B165" s="8" t="s">
        <v>32</v>
      </c>
      <c r="C165" s="8" t="s">
        <v>114</v>
      </c>
      <c r="D165" s="8" t="s">
        <v>608</v>
      </c>
      <c r="E165" s="8" t="s">
        <v>392</v>
      </c>
      <c r="F165" s="8" t="s">
        <v>32</v>
      </c>
      <c r="G165" s="8" t="s">
        <v>32</v>
      </c>
      <c r="H165" s="9">
        <v>5821.1319999999996</v>
      </c>
      <c r="I165" s="9">
        <v>176858.81299999999</v>
      </c>
      <c r="J165" s="9">
        <v>1657831.182</v>
      </c>
      <c r="K165" s="8" t="s">
        <v>239</v>
      </c>
      <c r="L165" s="8" t="s">
        <v>493</v>
      </c>
      <c r="M165" s="8" t="s">
        <v>85</v>
      </c>
    </row>
    <row r="166" spans="1:13" x14ac:dyDescent="0.25">
      <c r="A166" s="8" t="s">
        <v>621</v>
      </c>
      <c r="B166" s="8" t="s">
        <v>32</v>
      </c>
      <c r="C166" s="8" t="s">
        <v>49</v>
      </c>
      <c r="D166" s="8" t="s">
        <v>612</v>
      </c>
      <c r="E166" s="8" t="s">
        <v>613</v>
      </c>
      <c r="F166" s="8" t="s">
        <v>34</v>
      </c>
      <c r="G166" s="8" t="s">
        <v>35</v>
      </c>
      <c r="H166" s="9">
        <v>330.166</v>
      </c>
      <c r="I166" s="9">
        <v>176864.37</v>
      </c>
      <c r="J166" s="9">
        <v>1657954.1540000001</v>
      </c>
      <c r="K166" s="8" t="s">
        <v>239</v>
      </c>
      <c r="L166" s="8" t="s">
        <v>493</v>
      </c>
      <c r="M166" s="8" t="s">
        <v>40</v>
      </c>
    </row>
    <row r="167" spans="1:13" x14ac:dyDescent="0.25">
      <c r="A167" s="8" t="s">
        <v>622</v>
      </c>
      <c r="B167" s="8" t="s">
        <v>32</v>
      </c>
      <c r="C167" s="8" t="s">
        <v>91</v>
      </c>
      <c r="D167" s="8" t="s">
        <v>97</v>
      </c>
      <c r="E167" s="8" t="s">
        <v>392</v>
      </c>
      <c r="F167" s="8" t="s">
        <v>32</v>
      </c>
      <c r="G167" s="8" t="s">
        <v>32</v>
      </c>
      <c r="H167" s="9">
        <v>191.20599999999999</v>
      </c>
      <c r="I167" s="9">
        <v>176864.39600000001</v>
      </c>
      <c r="J167" s="9">
        <v>1657963.3929999999</v>
      </c>
      <c r="K167" s="8" t="s">
        <v>239</v>
      </c>
      <c r="L167" s="8" t="s">
        <v>493</v>
      </c>
      <c r="M167" s="8" t="s">
        <v>40</v>
      </c>
    </row>
    <row r="168" spans="1:13" x14ac:dyDescent="0.25">
      <c r="A168" s="8" t="s">
        <v>623</v>
      </c>
      <c r="B168" s="8" t="s">
        <v>32</v>
      </c>
      <c r="C168" s="8" t="s">
        <v>132</v>
      </c>
      <c r="D168" s="8" t="s">
        <v>97</v>
      </c>
      <c r="E168" s="8" t="s">
        <v>392</v>
      </c>
      <c r="F168" s="8" t="s">
        <v>32</v>
      </c>
      <c r="G168" s="8" t="s">
        <v>32</v>
      </c>
      <c r="H168" s="9">
        <v>94.96</v>
      </c>
      <c r="I168" s="9">
        <v>176880.981</v>
      </c>
      <c r="J168" s="9">
        <v>1657696.0090000001</v>
      </c>
      <c r="K168" s="8" t="s">
        <v>239</v>
      </c>
      <c r="L168" s="8" t="s">
        <v>493</v>
      </c>
      <c r="M168" s="8" t="s">
        <v>77</v>
      </c>
    </row>
    <row r="169" spans="1:13" x14ac:dyDescent="0.25">
      <c r="A169" s="8" t="s">
        <v>624</v>
      </c>
      <c r="B169" s="8" t="s">
        <v>32</v>
      </c>
      <c r="C169" s="8" t="s">
        <v>231</v>
      </c>
      <c r="D169" s="8" t="s">
        <v>97</v>
      </c>
      <c r="E169" s="8" t="s">
        <v>392</v>
      </c>
      <c r="F169" s="8" t="s">
        <v>32</v>
      </c>
      <c r="G169" s="8" t="s">
        <v>32</v>
      </c>
      <c r="H169" s="9">
        <v>106.68600000000001</v>
      </c>
      <c r="I169" s="9">
        <v>176890.25099999999</v>
      </c>
      <c r="J169" s="9">
        <v>1657969.2960000001</v>
      </c>
      <c r="K169" s="8" t="s">
        <v>239</v>
      </c>
      <c r="L169" s="8" t="s">
        <v>493</v>
      </c>
      <c r="M169" s="8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dudung maman</dc:creator>
  <cp:lastModifiedBy>user</cp:lastModifiedBy>
  <dcterms:created xsi:type="dcterms:W3CDTF">2024-04-30T19:17:08Z</dcterms:created>
  <dcterms:modified xsi:type="dcterms:W3CDTF">2026-08-17T13:19:04Z</dcterms:modified>
</cp:coreProperties>
</file>