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BANYUWANGI 2026\7.DESA GUMIRIH\5. ANTREAN ROBOT\BERKAS\"/>
    </mc:Choice>
  </mc:AlternateContent>
  <xr:revisionPtr revIDLastSave="0" documentId="13_ncr:1_{4AA0A03B-2CC1-4401-A3AC-F4346A67F7C2}" xr6:coauthVersionLast="47" xr6:coauthVersionMax="47" xr10:uidLastSave="{00000000-0000-0000-0000-000000000000}"/>
  <bookViews>
    <workbookView xWindow="-120" yWindow="-120" windowWidth="20730" windowHeight="11160" xr2:uid="{DFEF3A97-D25F-4820-BBC9-7762D7AD2D79}"/>
  </bookViews>
  <sheets>
    <sheet name="Sheet1" sheetId="1" r:id="rId1"/>
    <sheet name="Sheet2" sheetId="3" r:id="rId2"/>
  </sheets>
  <definedNames>
    <definedName name="_xlnm._FilterDatabase" localSheetId="0" hidden="1">Sheet1!$A$1:$K$2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3" l="1"/>
  <c r="G10" i="3"/>
  <c r="H10" i="3"/>
  <c r="E10" i="3" s="1"/>
  <c r="F11" i="3"/>
  <c r="G11" i="3"/>
  <c r="H11" i="3"/>
  <c r="E11" i="3" s="1"/>
  <c r="F5" i="3"/>
  <c r="G5" i="3"/>
  <c r="H5" i="3"/>
  <c r="E5" i="3" s="1"/>
  <c r="F6" i="3"/>
  <c r="G6" i="3"/>
  <c r="H6" i="3"/>
  <c r="E6" i="3" s="1"/>
  <c r="F7" i="3"/>
  <c r="G7" i="3"/>
  <c r="H7" i="3"/>
  <c r="E7" i="3" s="1"/>
  <c r="F8" i="3"/>
  <c r="G8" i="3"/>
  <c r="H8" i="3"/>
  <c r="E8" i="3" s="1"/>
  <c r="F9" i="3"/>
  <c r="G9" i="3"/>
  <c r="H9" i="3"/>
  <c r="E9" i="3" s="1"/>
  <c r="H4" i="3"/>
  <c r="E4" i="3" s="1"/>
  <c r="G4" i="3"/>
  <c r="F4" i="3"/>
  <c r="H3" i="3"/>
  <c r="E3" i="3" s="1"/>
  <c r="G3" i="3"/>
  <c r="F3" i="3"/>
  <c r="H2" i="3"/>
  <c r="E2" i="3" s="1"/>
  <c r="G2" i="3"/>
  <c r="F2" i="3"/>
  <c r="J11" i="3" l="1"/>
  <c r="J10" i="3"/>
  <c r="J7" i="3"/>
  <c r="J9" i="3"/>
  <c r="J8" i="3"/>
  <c r="J5" i="3"/>
  <c r="J6" i="3"/>
  <c r="J4" i="3"/>
  <c r="J2" i="3"/>
  <c r="J3" i="3"/>
</calcChain>
</file>

<file path=xl/sharedStrings.xml><?xml version="1.0" encoding="utf-8"?>
<sst xmlns="http://schemas.openxmlformats.org/spreadsheetml/2006/main" count="118" uniqueCount="25">
  <si>
    <t>nomor</t>
  </si>
  <si>
    <t>baris</t>
  </si>
  <si>
    <t>NIK</t>
  </si>
  <si>
    <t>TANGGAL LAHIR</t>
  </si>
  <si>
    <t>TEMPAT LAHIR</t>
  </si>
  <si>
    <t>CEK</t>
  </si>
  <si>
    <t>BERKAS</t>
  </si>
  <si>
    <t>TAHUN</t>
  </si>
  <si>
    <t>ALAMAT</t>
  </si>
  <si>
    <t>NAMA</t>
  </si>
  <si>
    <t>STATUS</t>
  </si>
  <si>
    <t>PEMILIK</t>
  </si>
  <si>
    <t>BANYUWANGI</t>
  </si>
  <si>
    <t>USIA</t>
  </si>
  <si>
    <t>TANGGAL</t>
  </si>
  <si>
    <t>BULAN</t>
  </si>
  <si>
    <t>|</t>
  </si>
  <si>
    <t>GUMIRIH</t>
  </si>
  <si>
    <t>Saluran</t>
  </si>
  <si>
    <t>3510120502760002</t>
  </si>
  <si>
    <t>05|02|1976</t>
  </si>
  <si>
    <t>Busairi</t>
  </si>
  <si>
    <t>Sindis Kumala</t>
  </si>
  <si>
    <t>Matlih</t>
  </si>
  <si>
    <t>Janur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</si>
</sst>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070C-E141-48D7-BFD8-ECA6FC9BB477}">
  <dimension ref="A1:K11"/>
  <sheetViews>
    <sheetView tabSelected="1" workbookViewId="0">
      <selection activeCell="C2" sqref="C2:C11"/>
    </sheetView>
  </sheetViews>
  <sheetFormatPr defaultRowHeight="15" x14ac:dyDescent="0.25"/>
  <cols>
    <col min="1" max="1" width="6.85546875" bestFit="1" customWidth="1"/>
    <col min="2" max="2" width="5.28515625" bestFit="1" customWidth="1"/>
    <col min="3" max="3" width="7.7109375" style="2" bestFit="1" customWidth="1"/>
    <col min="4" max="4" width="7.42578125" style="2" bestFit="1" customWidth="1"/>
    <col min="5" max="5" width="19.140625" style="2" bestFit="1" customWidth="1"/>
    <col min="6" max="6" width="17.7109375" style="2" bestFit="1" customWidth="1"/>
    <col min="7" max="7" width="15.42578125" style="2" bestFit="1" customWidth="1"/>
    <col min="8" max="8" width="15" style="2" bestFit="1" customWidth="1"/>
    <col min="9" max="9" width="27.140625" style="2" bestFit="1" customWidth="1"/>
    <col min="10" max="10" width="8" style="2" bestFit="1" customWidth="1"/>
    <col min="11" max="11" width="4.28515625" bestFit="1" customWidth="1"/>
  </cols>
  <sheetData>
    <row r="1" spans="1:11" s="6" customFormat="1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9</v>
      </c>
      <c r="F1" s="1" t="s">
        <v>2</v>
      </c>
      <c r="G1" s="1" t="s">
        <v>3</v>
      </c>
      <c r="H1" s="1" t="s">
        <v>8</v>
      </c>
      <c r="I1" s="1" t="s">
        <v>4</v>
      </c>
      <c r="J1" s="1" t="s">
        <v>10</v>
      </c>
      <c r="K1" s="1" t="s">
        <v>5</v>
      </c>
    </row>
    <row r="2" spans="1:11" x14ac:dyDescent="0.25">
      <c r="A2" s="3">
        <v>1</v>
      </c>
      <c r="B2" s="3">
        <v>2</v>
      </c>
      <c r="C2" s="4">
        <v>124743</v>
      </c>
      <c r="D2" s="5">
        <v>2026</v>
      </c>
      <c r="E2" s="4" t="s">
        <v>18</v>
      </c>
      <c r="F2" s="4" t="s">
        <v>19</v>
      </c>
      <c r="G2" s="5" t="s">
        <v>20</v>
      </c>
      <c r="H2" s="5" t="s">
        <v>17</v>
      </c>
      <c r="I2" s="4" t="s">
        <v>12</v>
      </c>
      <c r="J2" s="4" t="s">
        <v>11</v>
      </c>
      <c r="K2" s="5"/>
    </row>
    <row r="3" spans="1:11" x14ac:dyDescent="0.25">
      <c r="A3" s="3">
        <v>2</v>
      </c>
      <c r="B3" s="3">
        <v>3</v>
      </c>
      <c r="C3" s="4">
        <v>124744</v>
      </c>
      <c r="D3" s="5">
        <v>2026</v>
      </c>
      <c r="E3" s="4" t="s">
        <v>18</v>
      </c>
      <c r="F3" s="4" t="s">
        <v>19</v>
      </c>
      <c r="G3" s="5" t="s">
        <v>20</v>
      </c>
      <c r="H3" s="5" t="s">
        <v>17</v>
      </c>
      <c r="I3" s="4" t="s">
        <v>12</v>
      </c>
      <c r="J3" s="4" t="s">
        <v>11</v>
      </c>
      <c r="K3" s="5"/>
    </row>
    <row r="4" spans="1:11" x14ac:dyDescent="0.25">
      <c r="A4" s="3">
        <v>3</v>
      </c>
      <c r="B4" s="3">
        <v>4</v>
      </c>
      <c r="C4" s="4">
        <v>124745</v>
      </c>
      <c r="D4" s="5">
        <v>2026</v>
      </c>
      <c r="E4" s="4" t="s">
        <v>21</v>
      </c>
      <c r="F4" s="4" t="s">
        <v>19</v>
      </c>
      <c r="G4" s="5" t="s">
        <v>20</v>
      </c>
      <c r="H4" s="5" t="s">
        <v>17</v>
      </c>
      <c r="I4" s="4" t="s">
        <v>12</v>
      </c>
      <c r="J4" s="4" t="s">
        <v>11</v>
      </c>
      <c r="K4" s="5"/>
    </row>
    <row r="5" spans="1:11" x14ac:dyDescent="0.25">
      <c r="A5" s="3">
        <v>4</v>
      </c>
      <c r="B5" s="3">
        <v>5</v>
      </c>
      <c r="C5" s="5">
        <v>124746</v>
      </c>
      <c r="D5" s="5">
        <v>2026</v>
      </c>
      <c r="E5" s="5" t="s">
        <v>18</v>
      </c>
      <c r="F5" s="5" t="s">
        <v>19</v>
      </c>
      <c r="G5" s="5" t="s">
        <v>20</v>
      </c>
      <c r="H5" s="5" t="s">
        <v>17</v>
      </c>
      <c r="I5" s="4" t="s">
        <v>12</v>
      </c>
      <c r="J5" s="4" t="s">
        <v>11</v>
      </c>
      <c r="K5" s="5"/>
    </row>
    <row r="6" spans="1:11" x14ac:dyDescent="0.25">
      <c r="A6" s="3">
        <v>5</v>
      </c>
      <c r="B6" s="3">
        <v>6</v>
      </c>
      <c r="C6" s="5">
        <v>124747</v>
      </c>
      <c r="D6" s="5">
        <v>2026</v>
      </c>
      <c r="E6" s="5" t="s">
        <v>18</v>
      </c>
      <c r="F6" s="5" t="s">
        <v>19</v>
      </c>
      <c r="G6" s="5" t="s">
        <v>20</v>
      </c>
      <c r="H6" s="5" t="s">
        <v>17</v>
      </c>
      <c r="I6" s="4" t="s">
        <v>12</v>
      </c>
      <c r="J6" s="4" t="s">
        <v>11</v>
      </c>
      <c r="K6" s="5"/>
    </row>
    <row r="7" spans="1:11" x14ac:dyDescent="0.25">
      <c r="A7" s="3">
        <v>6</v>
      </c>
      <c r="B7" s="3">
        <v>7</v>
      </c>
      <c r="C7" s="5">
        <v>124748</v>
      </c>
      <c r="D7" s="5">
        <v>2026</v>
      </c>
      <c r="E7" s="5" t="s">
        <v>22</v>
      </c>
      <c r="F7" s="5" t="s">
        <v>19</v>
      </c>
      <c r="G7" s="5" t="s">
        <v>20</v>
      </c>
      <c r="H7" s="5" t="s">
        <v>17</v>
      </c>
      <c r="I7" s="4" t="s">
        <v>12</v>
      </c>
      <c r="J7" s="4" t="s">
        <v>11</v>
      </c>
      <c r="K7" s="5"/>
    </row>
    <row r="8" spans="1:11" x14ac:dyDescent="0.25">
      <c r="A8" s="3">
        <v>7</v>
      </c>
      <c r="B8" s="3">
        <v>8</v>
      </c>
      <c r="C8" s="5">
        <v>124749</v>
      </c>
      <c r="D8" s="5">
        <v>2026</v>
      </c>
      <c r="E8" s="5" t="s">
        <v>18</v>
      </c>
      <c r="F8" s="5" t="s">
        <v>19</v>
      </c>
      <c r="G8" s="5" t="s">
        <v>20</v>
      </c>
      <c r="H8" s="5" t="s">
        <v>17</v>
      </c>
      <c r="I8" s="4" t="s">
        <v>12</v>
      </c>
      <c r="J8" s="4" t="s">
        <v>11</v>
      </c>
      <c r="K8" s="5"/>
    </row>
    <row r="9" spans="1:11" x14ac:dyDescent="0.25">
      <c r="A9" s="3">
        <v>8</v>
      </c>
      <c r="B9" s="3">
        <v>9</v>
      </c>
      <c r="C9" s="5">
        <v>124750</v>
      </c>
      <c r="D9" s="5">
        <v>2026</v>
      </c>
      <c r="E9" s="5" t="s">
        <v>23</v>
      </c>
      <c r="F9" s="5" t="s">
        <v>19</v>
      </c>
      <c r="G9" s="5" t="s">
        <v>20</v>
      </c>
      <c r="H9" s="5" t="s">
        <v>17</v>
      </c>
      <c r="I9" s="4" t="s">
        <v>12</v>
      </c>
      <c r="J9" s="4" t="s">
        <v>11</v>
      </c>
      <c r="K9" s="5"/>
    </row>
    <row r="10" spans="1:11" x14ac:dyDescent="0.25">
      <c r="A10" s="3">
        <v>9</v>
      </c>
      <c r="B10" s="3">
        <v>10</v>
      </c>
      <c r="C10" s="5">
        <v>124751</v>
      </c>
      <c r="D10" s="5">
        <v>2026</v>
      </c>
      <c r="E10" s="5" t="s">
        <v>18</v>
      </c>
      <c r="F10" s="5" t="s">
        <v>19</v>
      </c>
      <c r="G10" s="5" t="s">
        <v>20</v>
      </c>
      <c r="H10" s="5" t="s">
        <v>17</v>
      </c>
      <c r="I10" s="4" t="s">
        <v>12</v>
      </c>
      <c r="J10" s="4" t="s">
        <v>11</v>
      </c>
      <c r="K10" s="5"/>
    </row>
    <row r="11" spans="1:11" x14ac:dyDescent="0.25">
      <c r="A11" s="3">
        <v>10</v>
      </c>
      <c r="B11" s="3">
        <v>11</v>
      </c>
      <c r="C11" s="5">
        <v>124752</v>
      </c>
      <c r="D11" s="5">
        <v>2026</v>
      </c>
      <c r="E11" s="5" t="s">
        <v>24</v>
      </c>
      <c r="F11" s="5" t="s">
        <v>19</v>
      </c>
      <c r="G11" s="5" t="s">
        <v>20</v>
      </c>
      <c r="H11" s="5" t="s">
        <v>17</v>
      </c>
      <c r="I11" s="4" t="s">
        <v>12</v>
      </c>
      <c r="J11" s="4" t="s">
        <v>11</v>
      </c>
      <c r="K11" s="5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CD04-9403-46DE-A2CB-925361F8CA89}">
  <dimension ref="B1:J11"/>
  <sheetViews>
    <sheetView workbookViewId="0">
      <selection activeCell="J2" sqref="J2:J11"/>
    </sheetView>
  </sheetViews>
  <sheetFormatPr defaultRowHeight="15" x14ac:dyDescent="0.25"/>
  <cols>
    <col min="3" max="3" width="17.28515625" bestFit="1" customWidth="1"/>
    <col min="4" max="4" width="13.85546875" bestFit="1" customWidth="1"/>
    <col min="10" max="10" width="11" bestFit="1" customWidth="1"/>
  </cols>
  <sheetData>
    <row r="1" spans="2:10" x14ac:dyDescent="0.25">
      <c r="B1" t="s">
        <v>9</v>
      </c>
      <c r="C1" t="s">
        <v>2</v>
      </c>
      <c r="D1" t="s">
        <v>4</v>
      </c>
      <c r="E1" t="s">
        <v>13</v>
      </c>
      <c r="F1" t="s">
        <v>14</v>
      </c>
      <c r="G1" t="s">
        <v>15</v>
      </c>
      <c r="H1" t="s">
        <v>7</v>
      </c>
    </row>
    <row r="2" spans="2:10" x14ac:dyDescent="0.25">
      <c r="B2" s="7" t="s">
        <v>18</v>
      </c>
      <c r="C2" s="7" t="s">
        <v>19</v>
      </c>
      <c r="D2" t="s">
        <v>12</v>
      </c>
      <c r="E2">
        <f ca="1">TEXT(TODAY(),"YYYY")-H2</f>
        <v>50</v>
      </c>
      <c r="F2" s="8" t="str">
        <f>IF(--MID(C2,7,2)&gt;40,MID(C2,7,2)-40,MID(C2,7,2))</f>
        <v>05</v>
      </c>
      <c r="G2" t="str">
        <f>MID(C2,9,2)</f>
        <v>02</v>
      </c>
      <c r="H2" t="str">
        <f ca="1">IF(--MID(C2,11,2)+2000&gt;YEAR(TODAY()),19&amp;MID(C2,11,2),20&amp;MID(C2,11,2))</f>
        <v>1976</v>
      </c>
      <c r="I2" s="9" t="s">
        <v>16</v>
      </c>
      <c r="J2" t="str">
        <f ca="1">CONCATENATE(F2,I2,G2,I2,H2)</f>
        <v>05|02|1976</v>
      </c>
    </row>
    <row r="3" spans="2:10" x14ac:dyDescent="0.25">
      <c r="B3" s="7" t="s">
        <v>18</v>
      </c>
      <c r="C3" s="7" t="s">
        <v>19</v>
      </c>
      <c r="D3" t="s">
        <v>12</v>
      </c>
      <c r="E3">
        <f t="shared" ref="E3:E4" ca="1" si="0">TEXT(TODAY(),"YYYY")-H3</f>
        <v>50</v>
      </c>
      <c r="F3" s="8" t="str">
        <f t="shared" ref="F3:F4" si="1">IF(--MID(C3,7,2)&gt;40,MID(C3,7,2)-40,MID(C3,7,2))</f>
        <v>05</v>
      </c>
      <c r="G3" t="str">
        <f t="shared" ref="G3:G4" si="2">MID(C3,9,2)</f>
        <v>02</v>
      </c>
      <c r="H3" t="str">
        <f t="shared" ref="H3:H4" ca="1" si="3">IF(--MID(C3,11,2)+2000&gt;YEAR(TODAY()),19&amp;MID(C3,11,2),20&amp;MID(C3,11,2))</f>
        <v>1976</v>
      </c>
      <c r="I3" s="9" t="s">
        <v>16</v>
      </c>
      <c r="J3" t="str">
        <f t="shared" ref="J3:J4" ca="1" si="4">CONCATENATE(F3,I3,G3,I3,H3)</f>
        <v>05|02|1976</v>
      </c>
    </row>
    <row r="4" spans="2:10" x14ac:dyDescent="0.25">
      <c r="B4" s="7" t="s">
        <v>21</v>
      </c>
      <c r="C4" s="7" t="s">
        <v>19</v>
      </c>
      <c r="D4" t="s">
        <v>12</v>
      </c>
      <c r="E4">
        <f t="shared" ca="1" si="0"/>
        <v>50</v>
      </c>
      <c r="F4" s="8" t="str">
        <f t="shared" si="1"/>
        <v>05</v>
      </c>
      <c r="G4" t="str">
        <f t="shared" si="2"/>
        <v>02</v>
      </c>
      <c r="H4" t="str">
        <f t="shared" ca="1" si="3"/>
        <v>1976</v>
      </c>
      <c r="I4" s="9" t="s">
        <v>16</v>
      </c>
      <c r="J4" t="str">
        <f t="shared" ca="1" si="4"/>
        <v>05|02|1976</v>
      </c>
    </row>
    <row r="5" spans="2:10" x14ac:dyDescent="0.25">
      <c r="B5" t="s">
        <v>18</v>
      </c>
      <c r="C5" t="s">
        <v>19</v>
      </c>
      <c r="D5" t="s">
        <v>12</v>
      </c>
      <c r="E5">
        <f t="shared" ref="E5:E9" ca="1" si="5">TEXT(TODAY(),"YYYY")-H5</f>
        <v>50</v>
      </c>
      <c r="F5" s="8" t="str">
        <f t="shared" ref="F5:F9" si="6">IF(--MID(C5,7,2)&gt;40,MID(C5,7,2)-40,MID(C5,7,2))</f>
        <v>05</v>
      </c>
      <c r="G5" t="str">
        <f t="shared" ref="G5:G9" si="7">MID(C5,9,2)</f>
        <v>02</v>
      </c>
      <c r="H5" t="str">
        <f t="shared" ref="H5:H9" ca="1" si="8">IF(--MID(C5,11,2)+2000&gt;YEAR(TODAY()),19&amp;MID(C5,11,2),20&amp;MID(C5,11,2))</f>
        <v>1976</v>
      </c>
      <c r="I5" s="9" t="s">
        <v>16</v>
      </c>
      <c r="J5" t="str">
        <f t="shared" ref="J5:J9" ca="1" si="9">CONCATENATE(F5,I5,G5,I5,H5)</f>
        <v>05|02|1976</v>
      </c>
    </row>
    <row r="6" spans="2:10" x14ac:dyDescent="0.25">
      <c r="B6" t="s">
        <v>18</v>
      </c>
      <c r="C6" t="s">
        <v>19</v>
      </c>
      <c r="D6" t="s">
        <v>12</v>
      </c>
      <c r="E6">
        <f t="shared" ca="1" si="5"/>
        <v>50</v>
      </c>
      <c r="F6" s="8" t="str">
        <f t="shared" si="6"/>
        <v>05</v>
      </c>
      <c r="G6" t="str">
        <f t="shared" si="7"/>
        <v>02</v>
      </c>
      <c r="H6" t="str">
        <f t="shared" ca="1" si="8"/>
        <v>1976</v>
      </c>
      <c r="I6" s="9" t="s">
        <v>16</v>
      </c>
      <c r="J6" t="str">
        <f t="shared" ca="1" si="9"/>
        <v>05|02|1976</v>
      </c>
    </row>
    <row r="7" spans="2:10" x14ac:dyDescent="0.25">
      <c r="B7" t="s">
        <v>22</v>
      </c>
      <c r="C7" t="s">
        <v>19</v>
      </c>
      <c r="D7" t="s">
        <v>12</v>
      </c>
      <c r="E7">
        <f t="shared" ca="1" si="5"/>
        <v>50</v>
      </c>
      <c r="F7" s="8" t="str">
        <f t="shared" si="6"/>
        <v>05</v>
      </c>
      <c r="G7" t="str">
        <f t="shared" si="7"/>
        <v>02</v>
      </c>
      <c r="H7" t="str">
        <f t="shared" ca="1" si="8"/>
        <v>1976</v>
      </c>
      <c r="I7" s="9" t="s">
        <v>16</v>
      </c>
      <c r="J7" t="str">
        <f t="shared" ca="1" si="9"/>
        <v>05|02|1976</v>
      </c>
    </row>
    <row r="8" spans="2:10" x14ac:dyDescent="0.25">
      <c r="B8" t="s">
        <v>18</v>
      </c>
      <c r="C8" t="s">
        <v>19</v>
      </c>
      <c r="D8" t="s">
        <v>12</v>
      </c>
      <c r="E8">
        <f t="shared" ca="1" si="5"/>
        <v>50</v>
      </c>
      <c r="F8" s="8" t="str">
        <f t="shared" si="6"/>
        <v>05</v>
      </c>
      <c r="G8" t="str">
        <f t="shared" si="7"/>
        <v>02</v>
      </c>
      <c r="H8" t="str">
        <f t="shared" ca="1" si="8"/>
        <v>1976</v>
      </c>
      <c r="I8" s="9" t="s">
        <v>16</v>
      </c>
      <c r="J8" t="str">
        <f t="shared" ca="1" si="9"/>
        <v>05|02|1976</v>
      </c>
    </row>
    <row r="9" spans="2:10" x14ac:dyDescent="0.25">
      <c r="B9" t="s">
        <v>23</v>
      </c>
      <c r="C9" t="s">
        <v>19</v>
      </c>
      <c r="D9" t="s">
        <v>12</v>
      </c>
      <c r="E9">
        <f t="shared" ca="1" si="5"/>
        <v>50</v>
      </c>
      <c r="F9" s="8" t="str">
        <f t="shared" si="6"/>
        <v>05</v>
      </c>
      <c r="G9" t="str">
        <f t="shared" si="7"/>
        <v>02</v>
      </c>
      <c r="H9" t="str">
        <f t="shared" ca="1" si="8"/>
        <v>1976</v>
      </c>
      <c r="I9" s="9" t="s">
        <v>16</v>
      </c>
      <c r="J9" t="str">
        <f t="shared" ca="1" si="9"/>
        <v>05|02|1976</v>
      </c>
    </row>
    <row r="10" spans="2:10" x14ac:dyDescent="0.25">
      <c r="B10" t="s">
        <v>18</v>
      </c>
      <c r="C10" t="s">
        <v>19</v>
      </c>
      <c r="D10" t="s">
        <v>12</v>
      </c>
      <c r="E10">
        <f t="shared" ref="E10:E11" ca="1" si="10">TEXT(TODAY(),"YYYY")-H10</f>
        <v>50</v>
      </c>
      <c r="F10" s="8" t="str">
        <f t="shared" ref="F10:F11" si="11">IF(--MID(C10,7,2)&gt;40,MID(C10,7,2)-40,MID(C10,7,2))</f>
        <v>05</v>
      </c>
      <c r="G10" t="str">
        <f t="shared" ref="G10:G11" si="12">MID(C10,9,2)</f>
        <v>02</v>
      </c>
      <c r="H10" t="str">
        <f t="shared" ref="H10:H11" ca="1" si="13">IF(--MID(C10,11,2)+2000&gt;YEAR(TODAY()),19&amp;MID(C10,11,2),20&amp;MID(C10,11,2))</f>
        <v>1976</v>
      </c>
      <c r="I10" s="9" t="s">
        <v>16</v>
      </c>
      <c r="J10" t="str">
        <f t="shared" ref="J10:J11" ca="1" si="14">CONCATENATE(F10,I10,G10,I10,H10)</f>
        <v>05|02|1976</v>
      </c>
    </row>
    <row r="11" spans="2:10" x14ac:dyDescent="0.25">
      <c r="B11" t="s">
        <v>24</v>
      </c>
      <c r="C11" t="s">
        <v>19</v>
      </c>
      <c r="D11" t="s">
        <v>12</v>
      </c>
      <c r="E11">
        <f t="shared" ca="1" si="10"/>
        <v>50</v>
      </c>
      <c r="F11" s="8" t="str">
        <f t="shared" si="11"/>
        <v>05</v>
      </c>
      <c r="G11" t="str">
        <f t="shared" si="12"/>
        <v>02</v>
      </c>
      <c r="H11" t="str">
        <f t="shared" ca="1" si="13"/>
        <v>1976</v>
      </c>
      <c r="I11" s="9" t="s">
        <v>16</v>
      </c>
      <c r="J11" t="str">
        <f t="shared" ca="1" si="14"/>
        <v>05|02|1976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dudung maman</dc:creator>
  <cp:lastModifiedBy>wahyu lesta</cp:lastModifiedBy>
  <dcterms:created xsi:type="dcterms:W3CDTF">2024-04-30T19:17:08Z</dcterms:created>
  <dcterms:modified xsi:type="dcterms:W3CDTF">2026-07-30T13:28:16Z</dcterms:modified>
</cp:coreProperties>
</file>